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안내" sheetId="1" state="visible" r:id="rId1"/>
    <sheet name="홍보대상학교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00FF"/>
      <sz val="11"/>
    </font>
    <font>
      <name val="Noto Sans CJK SC"/>
      <family val="2"/>
      <b val="1"/>
      <color rgb="FFFFFFFF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Noto Sans CJK SC"/>
      <family val="2"/>
      <b val="1"/>
      <sz val="9"/>
    </font>
    <font>
      <name val="Noto Sans CJK SC"/>
      <family val="2"/>
      <sz val="9"/>
    </font>
    <font>
      <name val="Arial"/>
      <charset val="1"/>
      <family val="0"/>
      <color rgb="FF0000FF"/>
      <sz val="9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FF6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8" customWidth="1" style="14" min="1" max="1"/>
    <col width="12" customWidth="1" style="14" min="2" max="2"/>
  </cols>
  <sheetData>
    <row r="1" ht="17.35" customHeight="1" s="15">
      <c r="A1" s="16" t="inlineStr">
        <is>
          <t>신입생 모집 홍보 대상학교 관리 시트</t>
        </is>
      </c>
    </row>
    <row r="3" ht="15" customHeight="1" s="15">
      <c r="A3" s="17" t="inlineStr">
        <is>
          <t>■ 우선순위 점수 = (최근3년 입학생수 × 2) + (2026 입학생수 × 3) + (3학년 학급수 × 0.6)</t>
        </is>
      </c>
    </row>
    <row r="4" ht="15" customHeight="1" s="15">
      <c r="A4" s="17" t="inlineStr">
        <is>
          <t xml:space="preserve">   과거 우리 학교로 진학한 실적을 가장 크게 반영합니다. (숫자를 고치면 점수·순위 자동 재계산)</t>
        </is>
      </c>
    </row>
    <row r="6" ht="15" customHeight="1" s="15">
      <c r="A6" s="17" t="inlineStr">
        <is>
          <t>■ 등급 경계값 (수정 가능)</t>
        </is>
      </c>
    </row>
    <row r="7" ht="15" customHeight="1" s="15">
      <c r="A7" s="17" t="inlineStr">
        <is>
          <t>상 (이 값 이상)</t>
        </is>
      </c>
      <c r="B7" s="18" t="n">
        <v>17</v>
      </c>
    </row>
    <row r="8" ht="15" customHeight="1" s="15">
      <c r="A8" s="17" t="inlineStr">
        <is>
          <t>중 (이 값 이상)</t>
        </is>
      </c>
      <c r="B8" s="18" t="n">
        <v>8.6</v>
      </c>
    </row>
    <row r="9" ht="15" customHeight="1" s="15">
      <c r="A9" s="17" t="inlineStr">
        <is>
          <t xml:space="preserve">   ※ 그 미만은 '하'. 2027 배정 데이터 기준으로 초기 설정됨.</t>
        </is>
      </c>
    </row>
    <row r="11" ht="15" customHeight="1" s="15">
      <c r="A11" s="17" t="inlineStr">
        <is>
          <t>■ 노란색 칸이 홍보 다니며 채우는 칸입니다:</t>
        </is>
      </c>
    </row>
    <row r="12" ht="15" customHeight="1" s="15">
      <c r="A12" s="17" t="inlineStr">
        <is>
          <t xml:space="preserve">   방문상태 / 1~6차 방문일 / 관심학생수 / 반응 / 다음할일 / 비고</t>
        </is>
      </c>
    </row>
    <row r="14" ht="15" customHeight="1" s="15">
      <c r="A14" s="17" t="inlineStr">
        <is>
          <t>■ 개인정보(교사·학생 이름, 연락처)는 포함하지 않았습니다.</t>
        </is>
      </c>
    </row>
    <row r="15" ht="15" customHeight="1" s="15">
      <c r="A15" s="17" t="inlineStr">
        <is>
          <t>■ 원본 배정표의 '담당 교사'는 제외됨. 담당은 '대표학과' 기준으로 운영하세요.</t>
        </is>
      </c>
    </row>
    <row r="17" ht="15" customHeight="1" s="15">
      <c r="A17" s="17" t="inlineStr">
        <is>
          <t>예시 행 (형식 참고용, 실제 아님):</t>
        </is>
      </c>
    </row>
    <row r="18" ht="15" customHeight="1" s="15">
      <c r="A18" s="17" t="inlineStr">
        <is>
          <t>방문상태=방문완료, 1차=4/17, 관심학생수=3, 반응=좋음, 다음할일=설명회 일정 조율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4" min="1" max="1"/>
    <col width="15" customWidth="1" style="14" min="2" max="2"/>
    <col width="8" customWidth="1" style="14" min="3" max="3"/>
    <col width="7" customWidth="1" style="14" min="4" max="4"/>
    <col width="8" customWidth="1" style="14" min="5" max="6"/>
    <col width="7" customWidth="1" style="14" min="7" max="8"/>
    <col width="8" customWidth="1" style="14" min="9" max="10"/>
    <col width="5" customWidth="1" style="14" min="11" max="11"/>
    <col width="10" customWidth="1" style="14" min="12" max="12"/>
    <col width="7" customWidth="1" style="14" min="13" max="18"/>
    <col width="6" customWidth="1" style="14" min="19" max="19"/>
    <col width="7" customWidth="1" style="14" min="20" max="20"/>
    <col width="22" customWidth="1" style="14" min="21" max="21"/>
    <col width="18" customWidth="1" style="14" min="22" max="22"/>
  </cols>
  <sheetData>
    <row r="1" ht="33.75" customHeight="1" s="15">
      <c r="A1" s="19" t="inlineStr">
        <is>
          <t>순위</t>
        </is>
      </c>
      <c r="B1" s="19" t="inlineStr">
        <is>
          <t>학교명</t>
        </is>
      </c>
      <c r="C1" s="19" t="inlineStr">
        <is>
          <t>지역</t>
        </is>
      </c>
      <c r="D1" s="19" t="inlineStr">
        <is>
          <t>시도</t>
        </is>
      </c>
      <c r="E1" s="19" t="inlineStr">
        <is>
          <t>최근3년
입학생수</t>
        </is>
      </c>
      <c r="F1" s="20" t="inlineStr">
        <is>
          <t>2026
입학생수</t>
        </is>
      </c>
      <c r="G1" s="20" t="inlineStr">
        <is>
          <t>3학년
학급수</t>
        </is>
      </c>
      <c r="H1" s="19" t="inlineStr">
        <is>
          <t>학생수</t>
        </is>
      </c>
      <c r="I1" s="19" t="inlineStr">
        <is>
          <t>대표학과</t>
        </is>
      </c>
      <c r="J1" s="19" t="inlineStr">
        <is>
          <t>우선순위
점수</t>
        </is>
      </c>
      <c r="K1" s="19" t="inlineStr">
        <is>
          <t>등급</t>
        </is>
      </c>
      <c r="L1" s="19" t="inlineStr">
        <is>
          <t>방문상태</t>
        </is>
      </c>
      <c r="M1" s="20" t="inlineStr">
        <is>
          <t>1차</t>
        </is>
      </c>
      <c r="N1" s="20" t="inlineStr">
        <is>
          <t>2차</t>
        </is>
      </c>
      <c r="O1" s="20" t="inlineStr">
        <is>
          <t>3차</t>
        </is>
      </c>
      <c r="P1" s="20" t="inlineStr">
        <is>
          <t>4차</t>
        </is>
      </c>
      <c r="Q1" s="20" t="inlineStr">
        <is>
          <t>5차</t>
        </is>
      </c>
      <c r="R1" s="20" t="inlineStr">
        <is>
          <t>6차</t>
        </is>
      </c>
      <c r="S1" s="19" t="inlineStr">
        <is>
          <t>관심
학생수</t>
        </is>
      </c>
      <c r="T1" s="19" t="inlineStr">
        <is>
          <t>반응</t>
        </is>
      </c>
      <c r="U1" s="19" t="inlineStr">
        <is>
          <t>다음 할 일</t>
        </is>
      </c>
      <c r="V1" s="19" t="inlineStr">
        <is>
          <t>비고</t>
        </is>
      </c>
    </row>
    <row r="2" ht="15" customHeight="1" s="15">
      <c r="A2" s="21" t="n">
        <v>1</v>
      </c>
      <c r="B2" s="22" t="inlineStr">
        <is>
          <t>북서울중학교</t>
        </is>
      </c>
      <c r="C2" s="23" t="inlineStr">
        <is>
          <t>도봉구</t>
        </is>
      </c>
      <c r="D2" s="23" t="inlineStr">
        <is>
          <t>서울시</t>
        </is>
      </c>
      <c r="E2" s="24" t="n">
        <v>15</v>
      </c>
      <c r="F2" s="24" t="n">
        <v>14</v>
      </c>
      <c r="G2" s="24" t="n">
        <v>5</v>
      </c>
      <c r="H2" s="24" t="n">
        <v>113</v>
      </c>
      <c r="I2" s="25" t="inlineStr">
        <is>
          <t>전기</t>
        </is>
      </c>
      <c r="J2" s="21">
        <f>E2*2+F2*3+G2*0.6</f>
        <v/>
      </c>
      <c r="K2" s="21">
        <f>IF(J2&gt;=안내!$B$7,"상",IF(J2&gt;=안내!$B$8,"중","하"))</f>
        <v/>
      </c>
      <c r="L2" s="26" t="inlineStr">
        <is>
          <t>미방문</t>
        </is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8" t="n"/>
      <c r="V2" s="28" t="n"/>
    </row>
    <row r="3" ht="15" customHeight="1" s="15">
      <c r="A3" s="21" t="n">
        <v>2</v>
      </c>
      <c r="B3" s="22" t="inlineStr">
        <is>
          <t>풍양중학교</t>
        </is>
      </c>
      <c r="C3" s="23" t="inlineStr">
        <is>
          <t>남양주시</t>
        </is>
      </c>
      <c r="D3" s="23" t="inlineStr">
        <is>
          <t>경기도</t>
        </is>
      </c>
      <c r="E3" s="24" t="n">
        <v>18</v>
      </c>
      <c r="F3" s="24" t="n">
        <v>5</v>
      </c>
      <c r="G3" s="24" t="n">
        <v>13</v>
      </c>
      <c r="H3" s="24" t="n"/>
      <c r="I3" s="25" t="inlineStr">
        <is>
          <t>재료</t>
        </is>
      </c>
      <c r="J3" s="21">
        <f>E3*2+F3*3+G3*0.6</f>
        <v/>
      </c>
      <c r="K3" s="21">
        <f>IF(J3&gt;=안내!$B$7,"상",IF(J3&gt;=안내!$B$8,"중","하"))</f>
        <v/>
      </c>
      <c r="L3" s="26" t="inlineStr">
        <is>
          <t>미방문</t>
        </is>
      </c>
      <c r="M3" s="27" t="n"/>
      <c r="N3" s="27" t="n"/>
      <c r="O3" s="27" t="n"/>
      <c r="P3" s="27" t="n"/>
      <c r="Q3" s="27" t="n"/>
      <c r="R3" s="27" t="n"/>
      <c r="S3" s="27" t="n"/>
      <c r="T3" s="27" t="n"/>
      <c r="U3" s="28" t="n"/>
      <c r="V3" s="28" t="n"/>
    </row>
    <row r="4" ht="15" customHeight="1" s="15">
      <c r="A4" s="21" t="n">
        <v>3</v>
      </c>
      <c r="B4" s="22" t="inlineStr">
        <is>
          <t>월계중학교</t>
        </is>
      </c>
      <c r="C4" s="23" t="inlineStr">
        <is>
          <t>노원구</t>
        </is>
      </c>
      <c r="D4" s="23" t="inlineStr">
        <is>
          <t>서울시</t>
        </is>
      </c>
      <c r="E4" s="24" t="n">
        <v>12</v>
      </c>
      <c r="F4" s="24" t="n">
        <v>8</v>
      </c>
      <c r="G4" s="24" t="n">
        <v>4</v>
      </c>
      <c r="H4" s="24" t="n">
        <v>100</v>
      </c>
      <c r="I4" s="25" t="inlineStr">
        <is>
          <t>재료</t>
        </is>
      </c>
      <c r="J4" s="21">
        <f>E4*2+F4*3+G4*0.6</f>
        <v/>
      </c>
      <c r="K4" s="21">
        <f>IF(J4&gt;=안내!$B$7,"상",IF(J4&gt;=안내!$B$8,"중","하"))</f>
        <v/>
      </c>
      <c r="L4" s="26" t="inlineStr">
        <is>
          <t>미방문</t>
        </is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8" t="n"/>
      <c r="V4" s="28" t="n"/>
    </row>
    <row r="5" ht="15" customHeight="1" s="15">
      <c r="A5" s="21" t="n">
        <v>4</v>
      </c>
      <c r="B5" s="22" t="inlineStr">
        <is>
          <t>장안중학교</t>
        </is>
      </c>
      <c r="C5" s="23" t="inlineStr">
        <is>
          <t>중랑구</t>
        </is>
      </c>
      <c r="D5" s="23" t="inlineStr">
        <is>
          <t>서울시</t>
        </is>
      </c>
      <c r="E5" s="24" t="n">
        <v>13</v>
      </c>
      <c r="F5" s="24" t="n">
        <v>5</v>
      </c>
      <c r="G5" s="24" t="n">
        <v>6</v>
      </c>
      <c r="H5" s="24" t="n">
        <v>141</v>
      </c>
      <c r="I5" s="25" t="inlineStr">
        <is>
          <t>하이텍</t>
        </is>
      </c>
      <c r="J5" s="21">
        <f>E5*2+F5*3+G5*0.6</f>
        <v/>
      </c>
      <c r="K5" s="21">
        <f>IF(J5&gt;=안내!$B$7,"상",IF(J5&gt;=안내!$B$8,"중","하"))</f>
        <v/>
      </c>
      <c r="L5" s="26" t="inlineStr">
        <is>
          <t>미방문</t>
        </is>
      </c>
      <c r="M5" s="27" t="n"/>
      <c r="N5" s="27" t="n"/>
      <c r="O5" s="27" t="n"/>
      <c r="P5" s="27" t="n"/>
      <c r="Q5" s="27" t="n"/>
      <c r="R5" s="27" t="n"/>
      <c r="S5" s="27" t="n"/>
      <c r="T5" s="27" t="n"/>
      <c r="U5" s="28" t="n"/>
      <c r="V5" s="28" t="n"/>
    </row>
    <row r="6" ht="15" customHeight="1" s="15">
      <c r="A6" s="21" t="n">
        <v>5</v>
      </c>
      <c r="B6" s="22" t="inlineStr">
        <is>
          <t>방학중학교</t>
        </is>
      </c>
      <c r="C6" s="23" t="inlineStr">
        <is>
          <t>도봉구</t>
        </is>
      </c>
      <c r="D6" s="23" t="inlineStr">
        <is>
          <t>서울시</t>
        </is>
      </c>
      <c r="E6" s="24" t="n">
        <v>12</v>
      </c>
      <c r="F6" s="24" t="n">
        <v>5</v>
      </c>
      <c r="G6" s="24" t="n">
        <v>6</v>
      </c>
      <c r="H6" s="24" t="n"/>
      <c r="I6" s="25" t="inlineStr">
        <is>
          <t>설비</t>
        </is>
      </c>
      <c r="J6" s="21">
        <f>E6*2+F6*3+G6*0.6</f>
        <v/>
      </c>
      <c r="K6" s="21">
        <f>IF(J6&gt;=안내!$B$7,"상",IF(J6&gt;=안내!$B$8,"중","하"))</f>
        <v/>
      </c>
      <c r="L6" s="26" t="inlineStr">
        <is>
          <t>미방문</t>
        </is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8" t="n"/>
      <c r="V6" s="28" t="n"/>
    </row>
    <row r="7" ht="15" customHeight="1" s="15">
      <c r="A7" s="21" t="n">
        <v>6</v>
      </c>
      <c r="B7" s="22" t="inlineStr">
        <is>
          <t>공릉중학교</t>
        </is>
      </c>
      <c r="C7" s="23" t="inlineStr">
        <is>
          <t>노원구</t>
        </is>
      </c>
      <c r="D7" s="23" t="inlineStr">
        <is>
          <t>서울시</t>
        </is>
      </c>
      <c r="E7" s="24" t="n">
        <v>9</v>
      </c>
      <c r="F7" s="24" t="n">
        <v>6</v>
      </c>
      <c r="G7" s="24" t="n">
        <v>6</v>
      </c>
      <c r="H7" s="24" t="n"/>
      <c r="I7" s="25" t="inlineStr">
        <is>
          <t>메카</t>
        </is>
      </c>
      <c r="J7" s="21">
        <f>E7*2+F7*3+G7*0.6</f>
        <v/>
      </c>
      <c r="K7" s="21">
        <f>IF(J7&gt;=안내!$B$7,"상",IF(J7&gt;=안내!$B$8,"중","하"))</f>
        <v/>
      </c>
      <c r="L7" s="26" t="inlineStr">
        <is>
          <t>미방문</t>
        </is>
      </c>
      <c r="M7" s="27" t="n"/>
      <c r="N7" s="27" t="n"/>
      <c r="O7" s="27" t="n"/>
      <c r="P7" s="27" t="n"/>
      <c r="Q7" s="27" t="n"/>
      <c r="R7" s="27" t="n"/>
      <c r="S7" s="27" t="n"/>
      <c r="T7" s="27" t="n"/>
      <c r="U7" s="28" t="n"/>
      <c r="V7" s="28" t="n"/>
    </row>
    <row r="8" ht="15" customHeight="1" s="15">
      <c r="A8" s="21" t="n">
        <v>7</v>
      </c>
      <c r="B8" s="22" t="inlineStr">
        <is>
          <t>갈매중학교</t>
        </is>
      </c>
      <c r="C8" s="23" t="inlineStr">
        <is>
          <t>구리시</t>
        </is>
      </c>
      <c r="D8" s="23" t="inlineStr">
        <is>
          <t>경기도</t>
        </is>
      </c>
      <c r="E8" s="24" t="n">
        <v>15</v>
      </c>
      <c r="F8" s="24" t="n">
        <v>1</v>
      </c>
      <c r="G8" s="24" t="n">
        <v>11</v>
      </c>
      <c r="H8" s="24" t="n"/>
      <c r="I8" s="25" t="inlineStr">
        <is>
          <t>하이텍</t>
        </is>
      </c>
      <c r="J8" s="21">
        <f>E8*2+F8*3+G8*0.6</f>
        <v/>
      </c>
      <c r="K8" s="21">
        <f>IF(J8&gt;=안내!$B$7,"상",IF(J8&gt;=안내!$B$8,"중","하"))</f>
        <v/>
      </c>
      <c r="L8" s="26" t="inlineStr">
        <is>
          <t>미방문</t>
        </is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8" t="n"/>
      <c r="V8" s="28" t="n"/>
    </row>
    <row r="9" ht="15" customHeight="1" s="15">
      <c r="A9" s="21" t="n">
        <v>8</v>
      </c>
      <c r="B9" s="22" t="inlineStr">
        <is>
          <t>별가람중학교</t>
        </is>
      </c>
      <c r="C9" s="23" t="inlineStr">
        <is>
          <t>남양주시</t>
        </is>
      </c>
      <c r="D9" s="23" t="inlineStr">
        <is>
          <t>경기도</t>
        </is>
      </c>
      <c r="E9" s="24" t="n">
        <v>11</v>
      </c>
      <c r="F9" s="24" t="n">
        <v>4</v>
      </c>
      <c r="G9" s="24" t="n">
        <v>9</v>
      </c>
      <c r="H9" s="24" t="n"/>
      <c r="I9" s="25" t="inlineStr">
        <is>
          <t>전기</t>
        </is>
      </c>
      <c r="J9" s="21">
        <f>E9*2+F9*3+G9*0.6</f>
        <v/>
      </c>
      <c r="K9" s="21">
        <f>IF(J9&gt;=안내!$B$7,"상",IF(J9&gt;=안내!$B$8,"중","하"))</f>
        <v/>
      </c>
      <c r="L9" s="26" t="inlineStr">
        <is>
          <t>미방문</t>
        </is>
      </c>
      <c r="M9" s="27" t="n"/>
      <c r="N9" s="27" t="n"/>
      <c r="O9" s="27" t="n"/>
      <c r="P9" s="27" t="n"/>
      <c r="Q9" s="27" t="n"/>
      <c r="R9" s="27" t="n"/>
      <c r="S9" s="27" t="n"/>
      <c r="T9" s="27" t="n"/>
      <c r="U9" s="28" t="n"/>
      <c r="V9" s="28" t="n"/>
    </row>
    <row r="10" ht="15" customHeight="1" s="15">
      <c r="A10" s="21" t="n">
        <v>9</v>
      </c>
      <c r="B10" s="22" t="inlineStr">
        <is>
          <t>오남중학교</t>
        </is>
      </c>
      <c r="C10" s="23" t="inlineStr">
        <is>
          <t>남양주시</t>
        </is>
      </c>
      <c r="D10" s="23" t="inlineStr">
        <is>
          <t>경기도</t>
        </is>
      </c>
      <c r="E10" s="24" t="n">
        <v>11</v>
      </c>
      <c r="F10" s="24" t="n">
        <v>4</v>
      </c>
      <c r="G10" s="24" t="n">
        <v>5</v>
      </c>
      <c r="H10" s="24" t="n"/>
      <c r="I10" s="25" t="inlineStr">
        <is>
          <t>전기</t>
        </is>
      </c>
      <c r="J10" s="21">
        <f>E10*2+F10*3+G10*0.6</f>
        <v/>
      </c>
      <c r="K10" s="21">
        <f>IF(J10&gt;=안내!$B$7,"상",IF(J10&gt;=안내!$B$8,"중","하"))</f>
        <v/>
      </c>
      <c r="L10" s="26" t="inlineStr">
        <is>
          <t>미방문</t>
        </is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8" t="n"/>
      <c r="V10" s="28" t="n"/>
    </row>
    <row r="11" ht="15" customHeight="1" s="15">
      <c r="A11" s="21" t="n">
        <v>10</v>
      </c>
      <c r="B11" s="22" t="inlineStr">
        <is>
          <t>원묵중학교</t>
        </is>
      </c>
      <c r="C11" s="23" t="inlineStr">
        <is>
          <t>중랑구</t>
        </is>
      </c>
      <c r="D11" s="23" t="inlineStr">
        <is>
          <t>서울시</t>
        </is>
      </c>
      <c r="E11" s="24" t="n">
        <v>9</v>
      </c>
      <c r="F11" s="24" t="n">
        <v>4</v>
      </c>
      <c r="G11" s="24" t="n">
        <v>9</v>
      </c>
      <c r="H11" s="24" t="n"/>
      <c r="I11" s="25" t="inlineStr">
        <is>
          <t>설비</t>
        </is>
      </c>
      <c r="J11" s="21">
        <f>E11*2+F11*3+G11*0.6</f>
        <v/>
      </c>
      <c r="K11" s="21">
        <f>IF(J11&gt;=안내!$B$7,"상",IF(J11&gt;=안내!$B$8,"중","하"))</f>
        <v/>
      </c>
      <c r="L11" s="26" t="inlineStr">
        <is>
          <t>미방문</t>
        </is>
      </c>
      <c r="M11" s="27" t="n"/>
      <c r="N11" s="27" t="n"/>
      <c r="O11" s="27" t="n"/>
      <c r="P11" s="27" t="n"/>
      <c r="Q11" s="27" t="n"/>
      <c r="R11" s="27" t="n"/>
      <c r="S11" s="27" t="n"/>
      <c r="T11" s="27" t="n"/>
      <c r="U11" s="28" t="n"/>
      <c r="V11" s="28" t="n"/>
    </row>
    <row r="12" ht="15" customHeight="1" s="15">
      <c r="A12" s="21" t="n">
        <v>11</v>
      </c>
      <c r="B12" s="22" t="inlineStr">
        <is>
          <t>인창중학교</t>
        </is>
      </c>
      <c r="C12" s="23" t="inlineStr">
        <is>
          <t>구리시</t>
        </is>
      </c>
      <c r="D12" s="23" t="inlineStr">
        <is>
          <t>경기도</t>
        </is>
      </c>
      <c r="E12" s="24" t="n">
        <v>11</v>
      </c>
      <c r="F12" s="24" t="n">
        <v>2</v>
      </c>
      <c r="G12" s="24" t="n">
        <v>11</v>
      </c>
      <c r="H12" s="24" t="n"/>
      <c r="I12" s="25" t="inlineStr">
        <is>
          <t>하이텍</t>
        </is>
      </c>
      <c r="J12" s="21">
        <f>E12*2+F12*3+G12*0.6</f>
        <v/>
      </c>
      <c r="K12" s="21">
        <f>IF(J12&gt;=안내!$B$7,"상",IF(J12&gt;=안내!$B$8,"중","하"))</f>
        <v/>
      </c>
      <c r="L12" s="26" t="inlineStr">
        <is>
          <t>미방문</t>
        </is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8" t="n"/>
      <c r="V12" s="28" t="n"/>
    </row>
    <row r="13" ht="15" customHeight="1" s="15">
      <c r="A13" s="21" t="n">
        <v>12</v>
      </c>
      <c r="B13" s="22" t="inlineStr">
        <is>
          <t>심석중학교</t>
        </is>
      </c>
      <c r="C13" s="23" t="inlineStr">
        <is>
          <t>남양주시</t>
        </is>
      </c>
      <c r="D13" s="23" t="inlineStr">
        <is>
          <t>경기도</t>
        </is>
      </c>
      <c r="E13" s="24" t="n">
        <v>14</v>
      </c>
      <c r="F13" s="24" t="n">
        <v>0</v>
      </c>
      <c r="G13" s="24" t="n">
        <v>9</v>
      </c>
      <c r="H13" s="24" t="n"/>
      <c r="I13" s="25" t="n"/>
      <c r="J13" s="21">
        <f>E13*2+F13*3+G13*0.6</f>
        <v/>
      </c>
      <c r="K13" s="21">
        <f>IF(J13&gt;=안내!$B$7,"상",IF(J13&gt;=안내!$B$8,"중","하"))</f>
        <v/>
      </c>
      <c r="L13" s="26" t="inlineStr">
        <is>
          <t>미방문</t>
        </is>
      </c>
      <c r="M13" s="27" t="n"/>
      <c r="N13" s="27" t="n"/>
      <c r="O13" s="27" t="n"/>
      <c r="P13" s="27" t="n"/>
      <c r="Q13" s="27" t="n"/>
      <c r="R13" s="27" t="n"/>
      <c r="S13" s="27" t="n"/>
      <c r="T13" s="27" t="n"/>
      <c r="U13" s="28" t="n"/>
      <c r="V13" s="28" t="n"/>
    </row>
    <row r="14" ht="15" customHeight="1" s="15">
      <c r="A14" s="21" t="n">
        <v>13</v>
      </c>
      <c r="B14" s="22" t="inlineStr">
        <is>
          <t>상봉중학교</t>
        </is>
      </c>
      <c r="C14" s="23" t="inlineStr">
        <is>
          <t>중랑구</t>
        </is>
      </c>
      <c r="D14" s="23" t="inlineStr">
        <is>
          <t>서울시</t>
        </is>
      </c>
      <c r="E14" s="24" t="n">
        <v>8</v>
      </c>
      <c r="F14" s="24" t="n">
        <v>4</v>
      </c>
      <c r="G14" s="24" t="n">
        <v>8</v>
      </c>
      <c r="H14" s="24" t="n"/>
      <c r="I14" s="25" t="inlineStr">
        <is>
          <t>전기</t>
        </is>
      </c>
      <c r="J14" s="21">
        <f>E14*2+F14*3+G14*0.6</f>
        <v/>
      </c>
      <c r="K14" s="21">
        <f>IF(J14&gt;=안내!$B$7,"상",IF(J14&gt;=안내!$B$8,"중","하"))</f>
        <v/>
      </c>
      <c r="L14" s="26" t="inlineStr">
        <is>
          <t>미방문</t>
        </is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8" t="n"/>
      <c r="V14" s="28" t="n"/>
    </row>
    <row r="15" ht="15" customHeight="1" s="15">
      <c r="A15" s="21" t="n">
        <v>14</v>
      </c>
      <c r="B15" s="22" t="inlineStr">
        <is>
          <t>남양주다산중학교</t>
        </is>
      </c>
      <c r="C15" s="23" t="inlineStr">
        <is>
          <t>남양주시</t>
        </is>
      </c>
      <c r="D15" s="23" t="inlineStr">
        <is>
          <t>경기도</t>
        </is>
      </c>
      <c r="E15" s="24" t="n">
        <v>12</v>
      </c>
      <c r="F15" s="24" t="n">
        <v>0</v>
      </c>
      <c r="G15" s="24" t="n">
        <v>13</v>
      </c>
      <c r="H15" s="24" t="n"/>
      <c r="I15" s="25" t="inlineStr">
        <is>
          <t>재료</t>
        </is>
      </c>
      <c r="J15" s="21">
        <f>E15*2+F15*3+G15*0.6</f>
        <v/>
      </c>
      <c r="K15" s="21">
        <f>IF(J15&gt;=안내!$B$7,"상",IF(J15&gt;=안내!$B$8,"중","하"))</f>
        <v/>
      </c>
      <c r="L15" s="26" t="inlineStr">
        <is>
          <t>미방문</t>
        </is>
      </c>
      <c r="M15" s="27" t="n"/>
      <c r="N15" s="27" t="n"/>
      <c r="O15" s="27" t="n"/>
      <c r="P15" s="27" t="n"/>
      <c r="Q15" s="27" t="n"/>
      <c r="R15" s="27" t="n"/>
      <c r="S15" s="27" t="n"/>
      <c r="T15" s="27" t="n"/>
      <c r="U15" s="28" t="n"/>
      <c r="V15" s="28" t="n"/>
    </row>
    <row r="16" ht="15" customHeight="1" s="15">
      <c r="A16" s="21" t="n">
        <v>15</v>
      </c>
      <c r="B16" s="22" t="inlineStr">
        <is>
          <t>중화중학교</t>
        </is>
      </c>
      <c r="C16" s="23" t="inlineStr">
        <is>
          <t>중랑구</t>
        </is>
      </c>
      <c r="D16" s="23" t="inlineStr">
        <is>
          <t>서울시</t>
        </is>
      </c>
      <c r="E16" s="24" t="n">
        <v>11</v>
      </c>
      <c r="F16" s="24" t="n">
        <v>2</v>
      </c>
      <c r="G16" s="24" t="n">
        <v>6</v>
      </c>
      <c r="H16" s="24" t="n"/>
      <c r="I16" s="25" t="inlineStr">
        <is>
          <t>재료</t>
        </is>
      </c>
      <c r="J16" s="21">
        <f>E16*2+F16*3+G16*0.6</f>
        <v/>
      </c>
      <c r="K16" s="21">
        <f>IF(J16&gt;=안내!$B$7,"상",IF(J16&gt;=안내!$B$8,"중","하"))</f>
        <v/>
      </c>
      <c r="L16" s="26" t="inlineStr">
        <is>
          <t>미방문</t>
        </is>
      </c>
      <c r="M16" s="27" t="n"/>
      <c r="N16" s="27" t="n"/>
      <c r="O16" s="27" t="n"/>
      <c r="P16" s="27" t="n"/>
      <c r="Q16" s="27" t="n"/>
      <c r="R16" s="27" t="n"/>
      <c r="S16" s="27" t="n"/>
      <c r="T16" s="27" t="n"/>
      <c r="U16" s="28" t="n"/>
      <c r="V16" s="28" t="n"/>
    </row>
    <row r="17" ht="15" customHeight="1" s="15">
      <c r="A17" s="21" t="n">
        <v>16</v>
      </c>
      <c r="B17" s="22" t="inlineStr">
        <is>
          <t>한천중학교</t>
        </is>
      </c>
      <c r="C17" s="23" t="inlineStr">
        <is>
          <t>노원구</t>
        </is>
      </c>
      <c r="D17" s="23" t="inlineStr">
        <is>
          <t>서울시</t>
        </is>
      </c>
      <c r="E17" s="24" t="n">
        <v>10</v>
      </c>
      <c r="F17" s="24" t="n">
        <v>2</v>
      </c>
      <c r="G17" s="24" t="n">
        <v>7</v>
      </c>
      <c r="H17" s="24" t="n"/>
      <c r="I17" s="25" t="inlineStr">
        <is>
          <t>전기</t>
        </is>
      </c>
      <c r="J17" s="21">
        <f>E17*2+F17*3+G17*0.6</f>
        <v/>
      </c>
      <c r="K17" s="21">
        <f>IF(J17&gt;=안내!$B$7,"상",IF(J17&gt;=안내!$B$8,"중","하"))</f>
        <v/>
      </c>
      <c r="L17" s="26" t="inlineStr">
        <is>
          <t>미방문</t>
        </is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8" t="n"/>
      <c r="V17" s="28" t="n"/>
    </row>
    <row r="18" ht="15" customHeight="1" s="15">
      <c r="A18" s="21" t="n">
        <v>17</v>
      </c>
      <c r="B18" s="22" t="inlineStr">
        <is>
          <t>하계중학교</t>
        </is>
      </c>
      <c r="C18" s="23" t="inlineStr">
        <is>
          <t>노원구</t>
        </is>
      </c>
      <c r="D18" s="23" t="inlineStr">
        <is>
          <t>서울시</t>
        </is>
      </c>
      <c r="E18" s="24" t="n">
        <v>9</v>
      </c>
      <c r="F18" s="24" t="n">
        <v>2</v>
      </c>
      <c r="G18" s="24" t="n">
        <v>8</v>
      </c>
      <c r="H18" s="24" t="n"/>
      <c r="I18" s="25" t="inlineStr">
        <is>
          <t>하이텍</t>
        </is>
      </c>
      <c r="J18" s="21">
        <f>E18*2+F18*3+G18*0.6</f>
        <v/>
      </c>
      <c r="K18" s="21">
        <f>IF(J18&gt;=안내!$B$7,"상",IF(J18&gt;=안내!$B$8,"중","하"))</f>
        <v/>
      </c>
      <c r="L18" s="26" t="inlineStr">
        <is>
          <t>미방문</t>
        </is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8" t="n"/>
      <c r="V18" s="28" t="n"/>
    </row>
    <row r="19" ht="15" customHeight="1" s="15">
      <c r="A19" s="21" t="n">
        <v>18</v>
      </c>
      <c r="B19" s="22" t="inlineStr">
        <is>
          <t>석관중학교</t>
        </is>
      </c>
      <c r="C19" s="23" t="inlineStr">
        <is>
          <t>성북구</t>
        </is>
      </c>
      <c r="D19" s="23" t="inlineStr">
        <is>
          <t>서울시</t>
        </is>
      </c>
      <c r="E19" s="24" t="n">
        <v>9</v>
      </c>
      <c r="F19" s="24" t="n">
        <v>2</v>
      </c>
      <c r="G19" s="24" t="n">
        <v>8</v>
      </c>
      <c r="H19" s="24" t="n"/>
      <c r="I19" s="25" t="inlineStr">
        <is>
          <t>인문</t>
        </is>
      </c>
      <c r="J19" s="21">
        <f>E19*2+F19*3+G19*0.6</f>
        <v/>
      </c>
      <c r="K19" s="21">
        <f>IF(J19&gt;=안내!$B$7,"상",IF(J19&gt;=안내!$B$8,"중","하"))</f>
        <v/>
      </c>
      <c r="L19" s="26" t="inlineStr">
        <is>
          <t>미방문</t>
        </is>
      </c>
      <c r="M19" s="27" t="n"/>
      <c r="N19" s="27" t="n"/>
      <c r="O19" s="27" t="n"/>
      <c r="P19" s="27" t="n"/>
      <c r="Q19" s="27" t="n"/>
      <c r="R19" s="27" t="n"/>
      <c r="S19" s="27" t="n"/>
      <c r="T19" s="27" t="n"/>
      <c r="U19" s="28" t="n"/>
      <c r="V19" s="28" t="n"/>
    </row>
    <row r="20" ht="15" customHeight="1" s="15">
      <c r="A20" s="21" t="n">
        <v>19</v>
      </c>
      <c r="B20" s="22" t="inlineStr">
        <is>
          <t>태릉중학교</t>
        </is>
      </c>
      <c r="C20" s="23" t="inlineStr">
        <is>
          <t>중랑구</t>
        </is>
      </c>
      <c r="D20" s="23" t="inlineStr">
        <is>
          <t>서울시</t>
        </is>
      </c>
      <c r="E20" s="24" t="n">
        <v>10</v>
      </c>
      <c r="F20" s="24" t="n">
        <v>2</v>
      </c>
      <c r="G20" s="24" t="n">
        <v>4</v>
      </c>
      <c r="H20" s="24" t="n"/>
      <c r="I20" s="25" t="inlineStr">
        <is>
          <t>전자</t>
        </is>
      </c>
      <c r="J20" s="21">
        <f>E20*2+F20*3+G20*0.6</f>
        <v/>
      </c>
      <c r="K20" s="21">
        <f>IF(J20&gt;=안내!$B$7,"상",IF(J20&gt;=안내!$B$8,"중","하"))</f>
        <v/>
      </c>
      <c r="L20" s="26" t="inlineStr">
        <is>
          <t>미방문</t>
        </is>
      </c>
      <c r="M20" s="27" t="n"/>
      <c r="N20" s="27" t="n"/>
      <c r="O20" s="27" t="n"/>
      <c r="P20" s="27" t="n"/>
      <c r="Q20" s="27" t="n"/>
      <c r="R20" s="27" t="n"/>
      <c r="S20" s="27" t="n"/>
      <c r="T20" s="27" t="n"/>
      <c r="U20" s="28" t="n"/>
      <c r="V20" s="28" t="n"/>
    </row>
    <row r="21" ht="15" customHeight="1" s="15">
      <c r="A21" s="21" t="n">
        <v>20</v>
      </c>
      <c r="B21" s="22" t="inlineStr">
        <is>
          <t>용곡중학교</t>
        </is>
      </c>
      <c r="C21" s="23" t="inlineStr">
        <is>
          <t>광진구</t>
        </is>
      </c>
      <c r="D21" s="23" t="inlineStr">
        <is>
          <t>서울시</t>
        </is>
      </c>
      <c r="E21" s="24" t="n">
        <v>9</v>
      </c>
      <c r="F21" s="24" t="n">
        <v>2</v>
      </c>
      <c r="G21" s="24" t="n">
        <v>7</v>
      </c>
      <c r="H21" s="24" t="n"/>
      <c r="I21" s="25" t="inlineStr">
        <is>
          <t>재료</t>
        </is>
      </c>
      <c r="J21" s="21">
        <f>E21*2+F21*3+G21*0.6</f>
        <v/>
      </c>
      <c r="K21" s="21">
        <f>IF(J21&gt;=안내!$B$7,"상",IF(J21&gt;=안내!$B$8,"중","하"))</f>
        <v/>
      </c>
      <c r="L21" s="26" t="inlineStr">
        <is>
          <t>미방문</t>
        </is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8" t="n"/>
      <c r="V21" s="28" t="n"/>
    </row>
    <row r="22" ht="15" customHeight="1" s="15">
      <c r="A22" s="21" t="n">
        <v>21</v>
      </c>
      <c r="B22" s="22" t="inlineStr">
        <is>
          <t>남대문중학교</t>
        </is>
      </c>
      <c r="C22" s="23" t="inlineStr">
        <is>
          <t>성북구</t>
        </is>
      </c>
      <c r="D22" s="23" t="inlineStr">
        <is>
          <t>서울시</t>
        </is>
      </c>
      <c r="E22" s="24" t="n">
        <v>9</v>
      </c>
      <c r="F22" s="24" t="n">
        <v>2</v>
      </c>
      <c r="G22" s="24" t="n">
        <v>7</v>
      </c>
      <c r="H22" s="24" t="n"/>
      <c r="I22" s="25" t="inlineStr">
        <is>
          <t>재료</t>
        </is>
      </c>
      <c r="J22" s="21">
        <f>E22*2+F22*3+G22*0.6</f>
        <v/>
      </c>
      <c r="K22" s="21">
        <f>IF(J22&gt;=안내!$B$7,"상",IF(J22&gt;=안내!$B$8,"중","하"))</f>
        <v/>
      </c>
      <c r="L22" s="26" t="inlineStr">
        <is>
          <t>미방문</t>
        </is>
      </c>
      <c r="M22" s="27" t="n"/>
      <c r="N22" s="27" t="n"/>
      <c r="O22" s="27" t="n"/>
      <c r="P22" s="27" t="n"/>
      <c r="Q22" s="27" t="n"/>
      <c r="R22" s="27" t="n"/>
      <c r="S22" s="27" t="n"/>
      <c r="T22" s="27" t="n"/>
      <c r="U22" s="28" t="n"/>
      <c r="V22" s="28" t="n"/>
    </row>
    <row r="23" ht="15" customHeight="1" s="15">
      <c r="A23" s="21" t="n">
        <v>22</v>
      </c>
      <c r="B23" s="22" t="inlineStr">
        <is>
          <t>동국대학교사범대학부속중학교</t>
        </is>
      </c>
      <c r="C23" s="23" t="inlineStr">
        <is>
          <t>동대문구</t>
        </is>
      </c>
      <c r="D23" s="23" t="inlineStr">
        <is>
          <t>서울시</t>
        </is>
      </c>
      <c r="E23" s="24" t="n">
        <v>8</v>
      </c>
      <c r="F23" s="24" t="n">
        <v>4</v>
      </c>
      <c r="G23" s="24" t="n"/>
      <c r="H23" s="24" t="n"/>
      <c r="I23" s="25" t="inlineStr">
        <is>
          <t>메카</t>
        </is>
      </c>
      <c r="J23" s="21">
        <f>E23*2+F23*3+G23*0.6</f>
        <v/>
      </c>
      <c r="K23" s="21">
        <f>IF(J23&gt;=안내!$B$7,"상",IF(J23&gt;=안내!$B$8,"중","하"))</f>
        <v/>
      </c>
      <c r="L23" s="26" t="inlineStr">
        <is>
          <t>미방문</t>
        </is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8" t="n"/>
      <c r="V23" s="28" t="n"/>
    </row>
    <row r="24" ht="15" customHeight="1" s="15">
      <c r="A24" s="21" t="n">
        <v>23</v>
      </c>
      <c r="B24" s="22" t="inlineStr">
        <is>
          <t>휘경중학교</t>
        </is>
      </c>
      <c r="C24" s="23" t="inlineStr">
        <is>
          <t>동대문구</t>
        </is>
      </c>
      <c r="D24" s="23" t="inlineStr">
        <is>
          <t>서울시</t>
        </is>
      </c>
      <c r="E24" s="24" t="n">
        <v>8</v>
      </c>
      <c r="F24" s="24" t="n">
        <v>3</v>
      </c>
      <c r="G24" s="24" t="n">
        <v>4</v>
      </c>
      <c r="H24" s="24" t="n"/>
      <c r="I24" s="25" t="inlineStr">
        <is>
          <t>드론</t>
        </is>
      </c>
      <c r="J24" s="21">
        <f>E24*2+F24*3+G24*0.6</f>
        <v/>
      </c>
      <c r="K24" s="21">
        <f>IF(J24&gt;=안내!$B$7,"상",IF(J24&gt;=안내!$B$8,"중","하"))</f>
        <v/>
      </c>
      <c r="L24" s="26" t="inlineStr">
        <is>
          <t>미방문</t>
        </is>
      </c>
      <c r="M24" s="27" t="n"/>
      <c r="N24" s="27" t="n"/>
      <c r="O24" s="27" t="n"/>
      <c r="P24" s="27" t="n"/>
      <c r="Q24" s="27" t="n"/>
      <c r="R24" s="27" t="n"/>
      <c r="S24" s="27" t="n"/>
      <c r="T24" s="27" t="n"/>
      <c r="U24" s="28" t="n"/>
      <c r="V24" s="28" t="n"/>
    </row>
    <row r="25" ht="15" customHeight="1" s="15">
      <c r="A25" s="21" t="n">
        <v>24</v>
      </c>
      <c r="B25" s="22" t="inlineStr">
        <is>
          <t>평내중학교</t>
        </is>
      </c>
      <c r="C25" s="23" t="inlineStr">
        <is>
          <t>남양주시</t>
        </is>
      </c>
      <c r="D25" s="23" t="inlineStr">
        <is>
          <t>경기도</t>
        </is>
      </c>
      <c r="E25" s="24" t="n">
        <v>10</v>
      </c>
      <c r="F25" s="24" t="n">
        <v>1</v>
      </c>
      <c r="G25" s="24" t="n">
        <v>7</v>
      </c>
      <c r="H25" s="24" t="n"/>
      <c r="I25" s="25" t="inlineStr">
        <is>
          <t>재료</t>
        </is>
      </c>
      <c r="J25" s="21">
        <f>E25*2+F25*3+G25*0.6</f>
        <v/>
      </c>
      <c r="K25" s="21">
        <f>IF(J25&gt;=안내!$B$7,"상",IF(J25&gt;=안내!$B$8,"중","하"))</f>
        <v/>
      </c>
      <c r="L25" s="26" t="inlineStr">
        <is>
          <t>미방문</t>
        </is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8" t="n"/>
      <c r="V25" s="28" t="n"/>
    </row>
    <row r="26" ht="15" customHeight="1" s="15">
      <c r="A26" s="21" t="n">
        <v>25</v>
      </c>
      <c r="B26" s="22" t="inlineStr">
        <is>
          <t>노일중학교</t>
        </is>
      </c>
      <c r="C26" s="23" t="inlineStr">
        <is>
          <t>노원구</t>
        </is>
      </c>
      <c r="D26" s="23" t="inlineStr">
        <is>
          <t>서울시</t>
        </is>
      </c>
      <c r="E26" s="24" t="n">
        <v>6</v>
      </c>
      <c r="F26" s="24" t="n">
        <v>4</v>
      </c>
      <c r="G26" s="24" t="n">
        <v>5</v>
      </c>
      <c r="H26" s="24" t="n"/>
      <c r="I26" s="25" t="inlineStr">
        <is>
          <t>드론</t>
        </is>
      </c>
      <c r="J26" s="21">
        <f>E26*2+F26*3+G26*0.6</f>
        <v/>
      </c>
      <c r="K26" s="21">
        <f>IF(J26&gt;=안내!$B$7,"상",IF(J26&gt;=안내!$B$8,"중","하"))</f>
        <v/>
      </c>
      <c r="L26" s="26" t="inlineStr">
        <is>
          <t>미방문</t>
        </is>
      </c>
      <c r="M26" s="27" t="n"/>
      <c r="N26" s="27" t="n"/>
      <c r="O26" s="27" t="n"/>
      <c r="P26" s="27" t="n"/>
      <c r="Q26" s="27" t="n"/>
      <c r="R26" s="27" t="n"/>
      <c r="S26" s="27" t="n"/>
      <c r="T26" s="27" t="n"/>
      <c r="U26" s="28" t="n"/>
      <c r="V26" s="28" t="n"/>
    </row>
    <row r="27" ht="15" customHeight="1" s="15">
      <c r="A27" s="21" t="n">
        <v>26</v>
      </c>
      <c r="B27" s="22" t="inlineStr">
        <is>
          <t>광장중학교</t>
        </is>
      </c>
      <c r="C27" s="23" t="inlineStr">
        <is>
          <t>광진구</t>
        </is>
      </c>
      <c r="D27" s="23" t="inlineStr">
        <is>
          <t>서울시</t>
        </is>
      </c>
      <c r="E27" s="24" t="n">
        <v>5</v>
      </c>
      <c r="F27" s="24" t="n">
        <v>4</v>
      </c>
      <c r="G27" s="24" t="n">
        <v>8</v>
      </c>
      <c r="H27" s="24" t="n"/>
      <c r="I27" s="25" t="inlineStr">
        <is>
          <t>메카</t>
        </is>
      </c>
      <c r="J27" s="21">
        <f>E27*2+F27*3+G27*0.6</f>
        <v/>
      </c>
      <c r="K27" s="21">
        <f>IF(J27&gt;=안내!$B$7,"상",IF(J27&gt;=안내!$B$8,"중","하"))</f>
        <v/>
      </c>
      <c r="L27" s="26" t="inlineStr">
        <is>
          <t>미방문</t>
        </is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8" t="n"/>
      <c r="V27" s="28" t="n"/>
    </row>
    <row r="28" ht="15" customHeight="1" s="15">
      <c r="A28" s="21" t="n">
        <v>27</v>
      </c>
      <c r="B28" s="22" t="inlineStr">
        <is>
          <t>동구중학교</t>
        </is>
      </c>
      <c r="C28" s="23" t="inlineStr">
        <is>
          <t>구리시</t>
        </is>
      </c>
      <c r="D28" s="23" t="inlineStr">
        <is>
          <t>경기도</t>
        </is>
      </c>
      <c r="E28" s="24" t="n">
        <v>6</v>
      </c>
      <c r="F28" s="24" t="n">
        <v>3</v>
      </c>
      <c r="G28" s="24" t="n">
        <v>9</v>
      </c>
      <c r="H28" s="24" t="n"/>
      <c r="I28" s="25" t="inlineStr">
        <is>
          <t>전기</t>
        </is>
      </c>
      <c r="J28" s="21">
        <f>E28*2+F28*3+G28*0.6</f>
        <v/>
      </c>
      <c r="K28" s="21">
        <f>IF(J28&gt;=안내!$B$7,"상",IF(J28&gt;=안내!$B$8,"중","하"))</f>
        <v/>
      </c>
      <c r="L28" s="26" t="inlineStr">
        <is>
          <t>미방문</t>
        </is>
      </c>
      <c r="M28" s="27" t="n"/>
      <c r="N28" s="27" t="n"/>
      <c r="O28" s="27" t="n"/>
      <c r="P28" s="27" t="n"/>
      <c r="Q28" s="27" t="n"/>
      <c r="R28" s="27" t="n"/>
      <c r="S28" s="27" t="n"/>
      <c r="T28" s="27" t="n"/>
      <c r="U28" s="28" t="n"/>
      <c r="V28" s="28" t="n"/>
    </row>
    <row r="29" ht="15" customHeight="1" s="15">
      <c r="A29" s="21" t="n">
        <v>28</v>
      </c>
      <c r="B29" s="22" t="inlineStr">
        <is>
          <t>도봉중학교</t>
        </is>
      </c>
      <c r="C29" s="23" t="inlineStr">
        <is>
          <t>도봉구</t>
        </is>
      </c>
      <c r="D29" s="23" t="inlineStr">
        <is>
          <t>서울시</t>
        </is>
      </c>
      <c r="E29" s="24" t="n">
        <v>7</v>
      </c>
      <c r="F29" s="24" t="n">
        <v>3</v>
      </c>
      <c r="G29" s="24" t="n">
        <v>4</v>
      </c>
      <c r="H29" s="24" t="n"/>
      <c r="I29" s="25" t="inlineStr">
        <is>
          <t>설비</t>
        </is>
      </c>
      <c r="J29" s="21">
        <f>E29*2+F29*3+G29*0.6</f>
        <v/>
      </c>
      <c r="K29" s="21">
        <f>IF(J29&gt;=안내!$B$7,"상",IF(J29&gt;=안내!$B$8,"중","하"))</f>
        <v/>
      </c>
      <c r="L29" s="26" t="inlineStr">
        <is>
          <t>미방문</t>
        </is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8" t="n"/>
      <c r="V29" s="28" t="n"/>
    </row>
    <row r="30" ht="15" customHeight="1" s="15">
      <c r="A30" s="21" t="n">
        <v>29</v>
      </c>
      <c r="B30" s="22" t="inlineStr">
        <is>
          <t>화광중학교</t>
        </is>
      </c>
      <c r="C30" s="23" t="inlineStr">
        <is>
          <t>남양주시</t>
        </is>
      </c>
      <c r="D30" s="23" t="inlineStr">
        <is>
          <t>경기도</t>
        </is>
      </c>
      <c r="E30" s="24" t="n">
        <v>8</v>
      </c>
      <c r="F30" s="24" t="n">
        <v>2</v>
      </c>
      <c r="G30" s="24" t="n">
        <v>4</v>
      </c>
      <c r="H30" s="24" t="n"/>
      <c r="I30" s="25" t="n"/>
      <c r="J30" s="21">
        <f>E30*2+F30*3+G30*0.6</f>
        <v/>
      </c>
      <c r="K30" s="21">
        <f>IF(J30&gt;=안내!$B$7,"상",IF(J30&gt;=안내!$B$8,"중","하"))</f>
        <v/>
      </c>
      <c r="L30" s="26" t="inlineStr">
        <is>
          <t>미방문</t>
        </is>
      </c>
      <c r="M30" s="27" t="n"/>
      <c r="N30" s="27" t="n"/>
      <c r="O30" s="27" t="n"/>
      <c r="P30" s="27" t="n"/>
      <c r="Q30" s="27" t="n"/>
      <c r="R30" s="27" t="n"/>
      <c r="S30" s="27" t="n"/>
      <c r="T30" s="27" t="n"/>
      <c r="U30" s="28" t="n"/>
      <c r="V30" s="28" t="n"/>
    </row>
    <row r="31" ht="15" customHeight="1" s="15">
      <c r="A31" s="21" t="n">
        <v>30</v>
      </c>
      <c r="B31" s="22" t="inlineStr">
        <is>
          <t>재현중학교</t>
        </is>
      </c>
      <c r="C31" s="23" t="inlineStr">
        <is>
          <t>노원구</t>
        </is>
      </c>
      <c r="D31" s="23" t="inlineStr">
        <is>
          <t>서울시</t>
        </is>
      </c>
      <c r="E31" s="24" t="n">
        <v>5</v>
      </c>
      <c r="F31" s="24" t="n">
        <v>3</v>
      </c>
      <c r="G31" s="24" t="n">
        <v>8</v>
      </c>
      <c r="H31" s="24" t="n"/>
      <c r="I31" s="25" t="inlineStr">
        <is>
          <t>전기</t>
        </is>
      </c>
      <c r="J31" s="21">
        <f>E31*2+F31*3+G31*0.6</f>
        <v/>
      </c>
      <c r="K31" s="21">
        <f>IF(J31&gt;=안내!$B$7,"상",IF(J31&gt;=안내!$B$8,"중","하"))</f>
        <v/>
      </c>
      <c r="L31" s="26" t="inlineStr">
        <is>
          <t>미방문</t>
        </is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8" t="n"/>
      <c r="V31" s="28" t="n"/>
    </row>
    <row r="32" ht="15" customHeight="1" s="15">
      <c r="A32" s="21" t="n">
        <v>31</v>
      </c>
      <c r="B32" s="22" t="inlineStr">
        <is>
          <t>청원중학교</t>
        </is>
      </c>
      <c r="C32" s="23" t="inlineStr">
        <is>
          <t>노원구</t>
        </is>
      </c>
      <c r="D32" s="23" t="inlineStr">
        <is>
          <t>서울시</t>
        </is>
      </c>
      <c r="E32" s="24" t="n">
        <v>5</v>
      </c>
      <c r="F32" s="24" t="n">
        <v>3</v>
      </c>
      <c r="G32" s="24" t="n">
        <v>7</v>
      </c>
      <c r="H32" s="24" t="n"/>
      <c r="I32" s="25" t="inlineStr">
        <is>
          <t>하이텍</t>
        </is>
      </c>
      <c r="J32" s="21">
        <f>E32*2+F32*3+G32*0.6</f>
        <v/>
      </c>
      <c r="K32" s="21">
        <f>IF(J32&gt;=안내!$B$7,"상",IF(J32&gt;=안내!$B$8,"중","하"))</f>
        <v/>
      </c>
      <c r="L32" s="26" t="inlineStr">
        <is>
          <t>미방문</t>
        </is>
      </c>
      <c r="M32" s="27" t="n"/>
      <c r="N32" s="27" t="n"/>
      <c r="O32" s="27" t="n"/>
      <c r="P32" s="27" t="n"/>
      <c r="Q32" s="27" t="n"/>
      <c r="R32" s="27" t="n"/>
      <c r="S32" s="27" t="n"/>
      <c r="T32" s="27" t="n"/>
      <c r="U32" s="28" t="n"/>
      <c r="V32" s="28" t="n"/>
    </row>
    <row r="33" ht="15" customHeight="1" s="15">
      <c r="A33" s="21" t="n">
        <v>32</v>
      </c>
      <c r="B33" s="22" t="inlineStr">
        <is>
          <t>면목중학교</t>
        </is>
      </c>
      <c r="C33" s="23" t="inlineStr">
        <is>
          <t>중랑구</t>
        </is>
      </c>
      <c r="D33" s="23" t="inlineStr">
        <is>
          <t>서울시</t>
        </is>
      </c>
      <c r="E33" s="24" t="n">
        <v>8</v>
      </c>
      <c r="F33" s="24" t="n">
        <v>1</v>
      </c>
      <c r="G33" s="24" t="n">
        <v>6</v>
      </c>
      <c r="H33" s="24" t="n"/>
      <c r="I33" s="25" t="inlineStr">
        <is>
          <t>하이텍</t>
        </is>
      </c>
      <c r="J33" s="21">
        <f>E33*2+F33*3+G33*0.6</f>
        <v/>
      </c>
      <c r="K33" s="21">
        <f>IF(J33&gt;=안내!$B$7,"상",IF(J33&gt;=안내!$B$8,"중","하"))</f>
        <v/>
      </c>
      <c r="L33" s="26" t="inlineStr">
        <is>
          <t>미방문</t>
        </is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8" t="n"/>
      <c r="V33" s="28" t="n"/>
    </row>
    <row r="34" ht="15" customHeight="1" s="15">
      <c r="A34" s="21" t="n">
        <v>33</v>
      </c>
      <c r="B34" s="22" t="inlineStr">
        <is>
          <t>신도봉중학교</t>
        </is>
      </c>
      <c r="C34" s="23" t="inlineStr">
        <is>
          <t>도봉구</t>
        </is>
      </c>
      <c r="D34" s="23" t="inlineStr">
        <is>
          <t>서울시</t>
        </is>
      </c>
      <c r="E34" s="24" t="n">
        <v>5</v>
      </c>
      <c r="F34" s="24" t="n">
        <v>3</v>
      </c>
      <c r="G34" s="24" t="n">
        <v>6</v>
      </c>
      <c r="H34" s="24" t="n"/>
      <c r="I34" s="25" t="inlineStr">
        <is>
          <t>전기</t>
        </is>
      </c>
      <c r="J34" s="21">
        <f>E34*2+F34*3+G34*0.6</f>
        <v/>
      </c>
      <c r="K34" s="21">
        <f>IF(J34&gt;=안내!$B$7,"상",IF(J34&gt;=안내!$B$8,"중","하"))</f>
        <v/>
      </c>
      <c r="L34" s="26" t="inlineStr">
        <is>
          <t>미방문</t>
        </is>
      </c>
      <c r="M34" s="27" t="n"/>
      <c r="N34" s="27" t="n"/>
      <c r="O34" s="27" t="n"/>
      <c r="P34" s="27" t="n"/>
      <c r="Q34" s="27" t="n"/>
      <c r="R34" s="27" t="n"/>
      <c r="S34" s="27" t="n"/>
      <c r="T34" s="27" t="n"/>
      <c r="U34" s="28" t="n"/>
      <c r="V34" s="28" t="n"/>
    </row>
    <row r="35" ht="15" customHeight="1" s="15">
      <c r="A35" s="21" t="n">
        <v>34</v>
      </c>
      <c r="B35" s="22" t="inlineStr">
        <is>
          <t>별내중학교</t>
        </is>
      </c>
      <c r="C35" s="23" t="inlineStr">
        <is>
          <t>남양주시</t>
        </is>
      </c>
      <c r="D35" s="23" t="inlineStr">
        <is>
          <t>경기도</t>
        </is>
      </c>
      <c r="E35" s="24" t="n">
        <v>5</v>
      </c>
      <c r="F35" s="24" t="n">
        <v>3</v>
      </c>
      <c r="G35" s="24" t="n">
        <v>6</v>
      </c>
      <c r="H35" s="24" t="n"/>
      <c r="I35" s="25" t="inlineStr">
        <is>
          <t>설계</t>
        </is>
      </c>
      <c r="J35" s="21">
        <f>E35*2+F35*3+G35*0.6</f>
        <v/>
      </c>
      <c r="K35" s="21">
        <f>IF(J35&gt;=안내!$B$7,"상",IF(J35&gt;=안내!$B$8,"중","하"))</f>
        <v/>
      </c>
      <c r="L35" s="26" t="inlineStr">
        <is>
          <t>미방문</t>
        </is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8" t="n"/>
      <c r="V35" s="28" t="n"/>
    </row>
    <row r="36" ht="15" customHeight="1" s="15">
      <c r="A36" s="21" t="n">
        <v>35</v>
      </c>
      <c r="B36" s="22" t="inlineStr">
        <is>
          <t>동원중학교</t>
        </is>
      </c>
      <c r="C36" s="23" t="inlineStr">
        <is>
          <t>중랑구</t>
        </is>
      </c>
      <c r="D36" s="23" t="inlineStr">
        <is>
          <t>서울시</t>
        </is>
      </c>
      <c r="E36" s="24" t="n">
        <v>6</v>
      </c>
      <c r="F36" s="24" t="n">
        <v>2</v>
      </c>
      <c r="G36" s="24" t="n">
        <v>7</v>
      </c>
      <c r="H36" s="24" t="n"/>
      <c r="I36" s="25" t="inlineStr">
        <is>
          <t>메카</t>
        </is>
      </c>
      <c r="J36" s="21">
        <f>E36*2+F36*3+G36*0.6</f>
        <v/>
      </c>
      <c r="K36" s="21">
        <f>IF(J36&gt;=안내!$B$7,"상",IF(J36&gt;=안내!$B$8,"중","하"))</f>
        <v/>
      </c>
      <c r="L36" s="26" t="inlineStr">
        <is>
          <t>미방문</t>
        </is>
      </c>
      <c r="M36" s="27" t="n"/>
      <c r="N36" s="27" t="n"/>
      <c r="O36" s="27" t="n"/>
      <c r="P36" s="27" t="n"/>
      <c r="Q36" s="27" t="n"/>
      <c r="R36" s="27" t="n"/>
      <c r="S36" s="27" t="n"/>
      <c r="T36" s="27" t="n"/>
      <c r="U36" s="28" t="n"/>
      <c r="V36" s="28" t="n"/>
    </row>
    <row r="37" ht="15" customHeight="1" s="15">
      <c r="A37" s="21" t="n">
        <v>36</v>
      </c>
      <c r="B37" s="22" t="inlineStr">
        <is>
          <t>녹천중학교</t>
        </is>
      </c>
      <c r="C37" s="23" t="inlineStr">
        <is>
          <t>노원구</t>
        </is>
      </c>
      <c r="D37" s="23" t="inlineStr">
        <is>
          <t>서울시</t>
        </is>
      </c>
      <c r="E37" s="24" t="n">
        <v>5</v>
      </c>
      <c r="F37" s="24" t="n">
        <v>3</v>
      </c>
      <c r="G37" s="24" t="n">
        <v>5</v>
      </c>
      <c r="H37" s="24" t="n"/>
      <c r="I37" s="25" t="inlineStr">
        <is>
          <t>자동화</t>
        </is>
      </c>
      <c r="J37" s="21">
        <f>E37*2+F37*3+G37*0.6</f>
        <v/>
      </c>
      <c r="K37" s="21">
        <f>IF(J37&gt;=안내!$B$7,"상",IF(J37&gt;=안내!$B$8,"중","하"))</f>
        <v/>
      </c>
      <c r="L37" s="26" t="inlineStr">
        <is>
          <t>미방문</t>
        </is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8" t="n"/>
      <c r="V37" s="28" t="n"/>
    </row>
    <row r="38" ht="15" customHeight="1" s="15">
      <c r="A38" s="21" t="n">
        <v>37</v>
      </c>
      <c r="B38" s="22" t="inlineStr">
        <is>
          <t>백운중학교</t>
        </is>
      </c>
      <c r="C38" s="23" t="inlineStr">
        <is>
          <t>도봉구</t>
        </is>
      </c>
      <c r="D38" s="23" t="inlineStr">
        <is>
          <t>서울시</t>
        </is>
      </c>
      <c r="E38" s="24" t="n">
        <v>5</v>
      </c>
      <c r="F38" s="24" t="n">
        <v>3</v>
      </c>
      <c r="G38" s="24" t="n">
        <v>5</v>
      </c>
      <c r="H38" s="24" t="n"/>
      <c r="I38" s="25" t="inlineStr">
        <is>
          <t>하이텍</t>
        </is>
      </c>
      <c r="J38" s="21">
        <f>E38*2+F38*3+G38*0.6</f>
        <v/>
      </c>
      <c r="K38" s="21">
        <f>IF(J38&gt;=안내!$B$7,"상",IF(J38&gt;=안내!$B$8,"중","하"))</f>
        <v/>
      </c>
      <c r="L38" s="26" t="inlineStr">
        <is>
          <t>미방문</t>
        </is>
      </c>
      <c r="M38" s="27" t="n"/>
      <c r="N38" s="27" t="n"/>
      <c r="O38" s="27" t="n"/>
      <c r="P38" s="27" t="n"/>
      <c r="Q38" s="27" t="n"/>
      <c r="R38" s="27" t="n"/>
      <c r="S38" s="27" t="n"/>
      <c r="T38" s="27" t="n"/>
      <c r="U38" s="28" t="n"/>
      <c r="V38" s="28" t="n"/>
    </row>
    <row r="39" ht="15" customHeight="1" s="15">
      <c r="A39" s="21" t="n">
        <v>38</v>
      </c>
      <c r="B39" s="22" t="inlineStr">
        <is>
          <t>퇴계원중학교</t>
        </is>
      </c>
      <c r="C39" s="23" t="inlineStr">
        <is>
          <t>남양주시</t>
        </is>
      </c>
      <c r="D39" s="23" t="inlineStr">
        <is>
          <t>경기도</t>
        </is>
      </c>
      <c r="E39" s="24" t="n">
        <v>7</v>
      </c>
      <c r="F39" s="24" t="n">
        <v>1</v>
      </c>
      <c r="G39" s="24" t="n">
        <v>8</v>
      </c>
      <c r="H39" s="24" t="n"/>
      <c r="I39" s="25" t="inlineStr">
        <is>
          <t>인문</t>
        </is>
      </c>
      <c r="J39" s="21">
        <f>E39*2+F39*3+G39*0.6</f>
        <v/>
      </c>
      <c r="K39" s="21">
        <f>IF(J39&gt;=안내!$B$7,"상",IF(J39&gt;=안내!$B$8,"중","하"))</f>
        <v/>
      </c>
      <c r="L39" s="26" t="inlineStr">
        <is>
          <t>미방문</t>
        </is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8" t="n"/>
      <c r="V39" s="28" t="n"/>
    </row>
    <row r="40" ht="15" customHeight="1" s="15">
      <c r="A40" s="21" t="n">
        <v>39</v>
      </c>
      <c r="B40" s="22" t="inlineStr">
        <is>
          <t>금곡중학교</t>
        </is>
      </c>
      <c r="C40" s="23" t="inlineStr">
        <is>
          <t>남양주시</t>
        </is>
      </c>
      <c r="D40" s="23" t="inlineStr">
        <is>
          <t>경기도</t>
        </is>
      </c>
      <c r="E40" s="24" t="n">
        <v>7</v>
      </c>
      <c r="F40" s="24" t="n">
        <v>2</v>
      </c>
      <c r="G40" s="24" t="n">
        <v>3</v>
      </c>
      <c r="H40" s="24" t="n"/>
      <c r="I40" s="25" t="inlineStr">
        <is>
          <t>설계</t>
        </is>
      </c>
      <c r="J40" s="21">
        <f>E40*2+F40*3+G40*0.6</f>
        <v/>
      </c>
      <c r="K40" s="21">
        <f>IF(J40&gt;=안내!$B$7,"상",IF(J40&gt;=안내!$B$8,"중","하"))</f>
        <v/>
      </c>
      <c r="L40" s="26" t="inlineStr">
        <is>
          <t>미방문</t>
        </is>
      </c>
      <c r="M40" s="27" t="n"/>
      <c r="N40" s="27" t="n"/>
      <c r="O40" s="27" t="n"/>
      <c r="P40" s="27" t="n"/>
      <c r="Q40" s="27" t="n"/>
      <c r="R40" s="27" t="n"/>
      <c r="S40" s="27" t="n"/>
      <c r="T40" s="27" t="n"/>
      <c r="U40" s="28" t="n"/>
      <c r="V40" s="28" t="n"/>
    </row>
    <row r="41" ht="15" customHeight="1" s="15">
      <c r="A41" s="21" t="n">
        <v>40</v>
      </c>
      <c r="B41" s="22" t="inlineStr">
        <is>
          <t>중원중학교</t>
        </is>
      </c>
      <c r="C41" s="23" t="inlineStr">
        <is>
          <t>노원구</t>
        </is>
      </c>
      <c r="D41" s="23" t="inlineStr">
        <is>
          <t>서울시</t>
        </is>
      </c>
      <c r="E41" s="24" t="n">
        <v>6</v>
      </c>
      <c r="F41" s="24" t="n">
        <v>2</v>
      </c>
      <c r="G41" s="24" t="n">
        <v>5</v>
      </c>
      <c r="H41" s="24" t="n"/>
      <c r="I41" s="25" t="inlineStr">
        <is>
          <t>설비</t>
        </is>
      </c>
      <c r="J41" s="21">
        <f>E42*2+F42*3+G42*0.6</f>
        <v/>
      </c>
      <c r="K41" s="21">
        <f>IF(J42&gt;=안내!$B$7,"상",IF(J42&gt;=안내!$B$8,"중","하"))</f>
        <v/>
      </c>
      <c r="L41" s="26" t="inlineStr">
        <is>
          <t>미방문</t>
        </is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8" t="n"/>
      <c r="V41" s="28" t="n"/>
    </row>
    <row r="42" ht="15" customHeight="1" s="15">
      <c r="A42" s="21" t="n">
        <v>41</v>
      </c>
      <c r="B42" s="22" t="inlineStr">
        <is>
          <t>마석중학교</t>
        </is>
      </c>
      <c r="C42" s="23" t="inlineStr">
        <is>
          <t>남양주시</t>
        </is>
      </c>
      <c r="D42" s="23" t="inlineStr">
        <is>
          <t>경기도</t>
        </is>
      </c>
      <c r="E42" s="24" t="n">
        <v>7</v>
      </c>
      <c r="F42" s="24" t="n">
        <v>0</v>
      </c>
      <c r="G42" s="24" t="n">
        <v>11</v>
      </c>
      <c r="H42" s="24" t="n"/>
      <c r="I42" s="25" t="n"/>
      <c r="J42" s="21">
        <f>E43*2+F43*3+G43*0.6</f>
        <v/>
      </c>
      <c r="K42" s="21">
        <f>IF(J43&gt;=안내!$B$7,"상",IF(J43&gt;=안내!$B$8,"중","하"))</f>
        <v/>
      </c>
      <c r="L42" s="26" t="inlineStr">
        <is>
          <t>미방문</t>
        </is>
      </c>
      <c r="M42" s="27" t="n"/>
      <c r="N42" s="27" t="n"/>
      <c r="O42" s="27" t="n"/>
      <c r="P42" s="27" t="n"/>
      <c r="Q42" s="27" t="n"/>
      <c r="R42" s="27" t="n"/>
      <c r="S42" s="27" t="n"/>
      <c r="T42" s="27" t="n"/>
      <c r="U42" s="28" t="n"/>
      <c r="V42" s="28" t="n"/>
    </row>
    <row r="43" ht="15" customHeight="1" s="15">
      <c r="A43" s="21" t="n">
        <v>42</v>
      </c>
      <c r="B43" s="22" t="inlineStr">
        <is>
          <t>한별중학교</t>
        </is>
      </c>
      <c r="C43" s="23" t="inlineStr">
        <is>
          <t>남양주시</t>
        </is>
      </c>
      <c r="D43" s="23" t="inlineStr">
        <is>
          <t>경기도</t>
        </is>
      </c>
      <c r="E43" s="24" t="n">
        <v>3</v>
      </c>
      <c r="F43" s="24" t="n">
        <v>3</v>
      </c>
      <c r="G43" s="24" t="n">
        <v>8</v>
      </c>
      <c r="H43" s="24" t="n"/>
      <c r="I43" s="25" t="n"/>
      <c r="J43" s="21">
        <f>E44*2+F44*3+G44*0.6</f>
        <v/>
      </c>
      <c r="K43" s="21">
        <f>IF(J44&gt;=안내!$B$7,"상",IF(J44&gt;=안내!$B$8,"중","하"))</f>
        <v/>
      </c>
      <c r="L43" s="26" t="inlineStr">
        <is>
          <t>미방문</t>
        </is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8" t="n"/>
      <c r="V43" s="28" t="n"/>
    </row>
    <row r="44" ht="15" customHeight="1" s="15">
      <c r="A44" s="21" t="n">
        <v>43</v>
      </c>
      <c r="B44" s="22" t="inlineStr">
        <is>
          <t>신현중학교</t>
        </is>
      </c>
      <c r="C44" s="23" t="inlineStr">
        <is>
          <t>중랑구</t>
        </is>
      </c>
      <c r="D44" s="23" t="inlineStr">
        <is>
          <t>서울시</t>
        </is>
      </c>
      <c r="E44" s="24" t="n">
        <v>7</v>
      </c>
      <c r="F44" s="24" t="n">
        <v>1</v>
      </c>
      <c r="G44" s="24" t="n">
        <v>4</v>
      </c>
      <c r="H44" s="24" t="n"/>
      <c r="I44" s="25" t="inlineStr">
        <is>
          <t>메카</t>
        </is>
      </c>
      <c r="J44" s="21">
        <f>E45*2+F45*3+G45*0.6</f>
        <v/>
      </c>
      <c r="K44" s="21">
        <f>IF(J45&gt;=안내!$B$7,"상",IF(J45&gt;=안내!$B$8,"중","하"))</f>
        <v/>
      </c>
      <c r="L44" s="26" t="inlineStr">
        <is>
          <t>미방문</t>
        </is>
      </c>
      <c r="M44" s="27" t="n"/>
      <c r="N44" s="27" t="n"/>
      <c r="O44" s="27" t="n"/>
      <c r="P44" s="27" t="n"/>
      <c r="Q44" s="27" t="n"/>
      <c r="R44" s="27" t="n"/>
      <c r="S44" s="27" t="n"/>
      <c r="T44" s="27" t="n"/>
      <c r="U44" s="28" t="n"/>
      <c r="V44" s="28" t="n"/>
    </row>
    <row r="45" ht="15" customHeight="1" s="15">
      <c r="A45" s="21" t="n">
        <v>44</v>
      </c>
      <c r="B45" s="22" t="inlineStr">
        <is>
          <t>능곡중학교</t>
        </is>
      </c>
      <c r="C45" s="23" t="inlineStr">
        <is>
          <t>고양시</t>
        </is>
      </c>
      <c r="D45" s="23" t="inlineStr">
        <is>
          <t>경기도</t>
        </is>
      </c>
      <c r="E45" s="24" t="n">
        <v>3</v>
      </c>
      <c r="F45" s="24" t="n">
        <v>3</v>
      </c>
      <c r="G45" s="24" t="n">
        <v>6</v>
      </c>
      <c r="H45" s="24" t="n"/>
      <c r="I45" s="25" t="n"/>
      <c r="J45" s="21">
        <f>E46*2+F46*3+G46*0.6</f>
        <v/>
      </c>
      <c r="K45" s="21">
        <f>IF(J46&gt;=안내!$B$7,"상",IF(J46&gt;=안내!$B$8,"중","하"))</f>
        <v/>
      </c>
      <c r="L45" s="26" t="inlineStr">
        <is>
          <t>미방문</t>
        </is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8" t="n"/>
      <c r="V45" s="28" t="n"/>
    </row>
    <row r="46" ht="15" customHeight="1" s="15">
      <c r="A46" s="21" t="n">
        <v>45</v>
      </c>
      <c r="B46" s="22" t="inlineStr">
        <is>
          <t>구리중학교</t>
        </is>
      </c>
      <c r="C46" s="23" t="inlineStr">
        <is>
          <t>구리시</t>
        </is>
      </c>
      <c r="D46" s="23" t="inlineStr">
        <is>
          <t>경기도</t>
        </is>
      </c>
      <c r="E46" s="24" t="n">
        <v>5</v>
      </c>
      <c r="F46" s="24" t="n">
        <v>2</v>
      </c>
      <c r="G46" s="24" t="n">
        <v>3</v>
      </c>
      <c r="H46" s="24" t="n"/>
      <c r="I46" s="25" t="inlineStr">
        <is>
          <t>드론</t>
        </is>
      </c>
      <c r="J46" s="21">
        <f>E47*2+F47*3+G47*0.6</f>
        <v/>
      </c>
      <c r="K46" s="21">
        <f>IF(J47&gt;=안내!$B$7,"상",IF(J47&gt;=안내!$B$8,"중","하"))</f>
        <v/>
      </c>
      <c r="L46" s="26" t="inlineStr">
        <is>
          <t>미방문</t>
        </is>
      </c>
      <c r="M46" s="27" t="n"/>
      <c r="N46" s="27" t="n"/>
      <c r="O46" s="27" t="n"/>
      <c r="P46" s="27" t="n"/>
      <c r="Q46" s="27" t="n"/>
      <c r="R46" s="27" t="n"/>
      <c r="S46" s="27" t="n"/>
      <c r="T46" s="27" t="n"/>
      <c r="U46" s="28" t="n"/>
      <c r="V46" s="28" t="n"/>
    </row>
    <row r="47" ht="15" customHeight="1" s="15">
      <c r="A47" s="21" t="n">
        <v>46</v>
      </c>
      <c r="B47" s="22" t="inlineStr">
        <is>
          <t>노원중학교</t>
        </is>
      </c>
      <c r="C47" s="23" t="inlineStr">
        <is>
          <t>노원구</t>
        </is>
      </c>
      <c r="D47" s="23" t="inlineStr">
        <is>
          <t>서울시</t>
        </is>
      </c>
      <c r="E47" s="24" t="n">
        <v>7</v>
      </c>
      <c r="F47" s="24" t="n">
        <v>0</v>
      </c>
      <c r="G47" s="24" t="n">
        <v>5</v>
      </c>
      <c r="H47" s="24" t="n"/>
      <c r="I47" s="25" t="inlineStr">
        <is>
          <t>드론</t>
        </is>
      </c>
      <c r="J47" s="21">
        <f>E48*2+F48*3+G48*0.6</f>
        <v/>
      </c>
      <c r="K47" s="21">
        <f>IF(J48&gt;=안내!$B$7,"상",IF(J48&gt;=안내!$B$8,"중","하"))</f>
        <v/>
      </c>
      <c r="L47" s="26" t="inlineStr">
        <is>
          <t>미방문</t>
        </is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8" t="n"/>
      <c r="V47" s="28" t="n"/>
    </row>
    <row r="48" ht="15" customHeight="1" s="15">
      <c r="A48" s="21" t="n">
        <v>47</v>
      </c>
      <c r="B48" s="22" t="inlineStr">
        <is>
          <t>용마중학교</t>
        </is>
      </c>
      <c r="C48" s="23" t="inlineStr">
        <is>
          <t>중랑구</t>
        </is>
      </c>
      <c r="D48" s="23" t="inlineStr">
        <is>
          <t>서울시</t>
        </is>
      </c>
      <c r="E48" s="24" t="n">
        <v>4</v>
      </c>
      <c r="F48" s="24" t="n">
        <v>2</v>
      </c>
      <c r="G48" s="24" t="n">
        <v>5</v>
      </c>
      <c r="H48" s="24" t="n"/>
      <c r="I48" s="25" t="inlineStr">
        <is>
          <t>전자</t>
        </is>
      </c>
      <c r="J48" s="21">
        <f>E49*2+F49*3+G49*0.6</f>
        <v/>
      </c>
      <c r="K48" s="21">
        <f>IF(J49&gt;=안내!$B$7,"상",IF(J49&gt;=안내!$B$8,"중","하"))</f>
        <v/>
      </c>
      <c r="L48" s="26" t="inlineStr">
        <is>
          <t>미방문</t>
        </is>
      </c>
      <c r="M48" s="27" t="n"/>
      <c r="N48" s="27" t="n"/>
      <c r="O48" s="27" t="n"/>
      <c r="P48" s="27" t="n"/>
      <c r="Q48" s="27" t="n"/>
      <c r="R48" s="27" t="n"/>
      <c r="S48" s="27" t="n"/>
      <c r="T48" s="27" t="n"/>
      <c r="U48" s="28" t="n"/>
      <c r="V48" s="28" t="n"/>
    </row>
    <row r="49" ht="15" customHeight="1" s="15">
      <c r="A49" s="21" t="n">
        <v>48</v>
      </c>
      <c r="B49" s="22" t="inlineStr">
        <is>
          <t>도농중학교</t>
        </is>
      </c>
      <c r="C49" s="23" t="inlineStr">
        <is>
          <t>남양주시</t>
        </is>
      </c>
      <c r="D49" s="23" t="inlineStr">
        <is>
          <t>경기도</t>
        </is>
      </c>
      <c r="E49" s="24" t="n">
        <v>6</v>
      </c>
      <c r="F49" s="24" t="n">
        <v>0</v>
      </c>
      <c r="G49" s="24" t="n">
        <v>8</v>
      </c>
      <c r="H49" s="24" t="n"/>
      <c r="I49" s="25" t="inlineStr">
        <is>
          <t>재료</t>
        </is>
      </c>
      <c r="J49" s="21">
        <f>E50*2+F50*3+G50*0.6</f>
        <v/>
      </c>
      <c r="K49" s="21">
        <f>IF(J50&gt;=안내!$B$7,"상",IF(J50&gt;=안내!$B$8,"중","하"))</f>
        <v/>
      </c>
      <c r="L49" s="26" t="inlineStr">
        <is>
          <t>미방문</t>
        </is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8" t="n"/>
      <c r="V49" s="28" t="n"/>
    </row>
    <row r="50" ht="15" customHeight="1" s="15">
      <c r="A50" s="21" t="n">
        <v>49</v>
      </c>
      <c r="B50" s="22" t="inlineStr">
        <is>
          <t>상계중</t>
        </is>
      </c>
      <c r="C50" s="23" t="inlineStr">
        <is>
          <t>노원구</t>
        </is>
      </c>
      <c r="D50" s="23" t="inlineStr">
        <is>
          <t>서울시</t>
        </is>
      </c>
      <c r="E50" s="24" t="n">
        <v>5</v>
      </c>
      <c r="F50" s="24" t="n">
        <v>1</v>
      </c>
      <c r="G50" s="24" t="n">
        <v>6</v>
      </c>
      <c r="H50" s="24" t="n"/>
      <c r="I50" s="25" t="inlineStr">
        <is>
          <t>드론</t>
        </is>
      </c>
      <c r="J50" s="21">
        <f>E51*2+F51*3+G51*0.6</f>
        <v/>
      </c>
      <c r="K50" s="21">
        <f>IF(J51&gt;=안내!$B$7,"상",IF(J51&gt;=안내!$B$8,"중","하"))</f>
        <v/>
      </c>
      <c r="L50" s="26" t="inlineStr">
        <is>
          <t>미방문</t>
        </is>
      </c>
      <c r="M50" s="27" t="n"/>
      <c r="N50" s="27" t="n"/>
      <c r="O50" s="27" t="n"/>
      <c r="P50" s="27" t="n"/>
      <c r="Q50" s="27" t="n"/>
      <c r="R50" s="27" t="n"/>
      <c r="S50" s="27" t="n"/>
      <c r="T50" s="27" t="n"/>
      <c r="U50" s="28" t="n"/>
      <c r="V50" s="28" t="n"/>
    </row>
    <row r="51" ht="15" customHeight="1" s="15">
      <c r="A51" s="21" t="n">
        <v>50</v>
      </c>
      <c r="B51" s="22" t="inlineStr">
        <is>
          <t>고덕중학교</t>
        </is>
      </c>
      <c r="C51" s="23" t="inlineStr">
        <is>
          <t>강동구</t>
        </is>
      </c>
      <c r="D51" s="23" t="inlineStr">
        <is>
          <t>서울시</t>
        </is>
      </c>
      <c r="E51" s="24" t="n">
        <v>2</v>
      </c>
      <c r="F51" s="24" t="n">
        <v>1</v>
      </c>
      <c r="G51" s="24" t="n">
        <v>16</v>
      </c>
      <c r="H51" s="24" t="n"/>
      <c r="I51" s="25" t="inlineStr">
        <is>
          <t>하이텍</t>
        </is>
      </c>
      <c r="J51" s="21">
        <f>E52*2+F52*3+G52*0.6</f>
        <v/>
      </c>
      <c r="K51" s="21">
        <f>IF(J52&gt;=안내!$B$7,"상",IF(J52&gt;=안내!$B$8,"중","하"))</f>
        <v/>
      </c>
      <c r="L51" s="26" t="inlineStr">
        <is>
          <t>미방문</t>
        </is>
      </c>
      <c r="M51" s="27" t="n"/>
      <c r="N51" s="27" t="n"/>
      <c r="O51" s="27" t="n"/>
      <c r="P51" s="27" t="n"/>
      <c r="Q51" s="27" t="n"/>
      <c r="R51" s="27" t="n"/>
      <c r="S51" s="27" t="n"/>
      <c r="T51" s="27" t="n"/>
      <c r="U51" s="28" t="n"/>
      <c r="V51" s="28" t="n"/>
    </row>
    <row r="52" ht="15" customHeight="1" s="15">
      <c r="A52" s="21" t="n">
        <v>51</v>
      </c>
      <c r="B52" s="22" t="inlineStr">
        <is>
          <t>판곡중학교</t>
        </is>
      </c>
      <c r="C52" s="23" t="inlineStr">
        <is>
          <t>남양주시</t>
        </is>
      </c>
      <c r="D52" s="23" t="inlineStr">
        <is>
          <t>경기도</t>
        </is>
      </c>
      <c r="E52" s="24" t="n">
        <v>5</v>
      </c>
      <c r="F52" s="24" t="n">
        <v>0</v>
      </c>
      <c r="G52" s="24" t="n">
        <v>10</v>
      </c>
      <c r="H52" s="24" t="n"/>
      <c r="I52" s="25" t="n"/>
      <c r="J52" s="21">
        <f>E53*2+F53*3+G53*0.6</f>
        <v/>
      </c>
      <c r="K52" s="21">
        <f>IF(J53&gt;=안내!$B$7,"상",IF(J53&gt;=안내!$B$8,"중","하"))</f>
        <v/>
      </c>
      <c r="L52" s="26" t="inlineStr">
        <is>
          <t>미방문</t>
        </is>
      </c>
      <c r="M52" s="27" t="n"/>
      <c r="N52" s="27" t="n"/>
      <c r="O52" s="27" t="n"/>
      <c r="P52" s="27" t="n"/>
      <c r="Q52" s="27" t="n"/>
      <c r="R52" s="27" t="n"/>
      <c r="S52" s="27" t="n"/>
      <c r="T52" s="27" t="n"/>
      <c r="U52" s="28" t="n"/>
      <c r="V52" s="28" t="n"/>
    </row>
    <row r="53" ht="15" customHeight="1" s="15">
      <c r="A53" s="21" t="n">
        <v>52</v>
      </c>
      <c r="B53" s="22" t="inlineStr">
        <is>
          <t>진건중학교</t>
        </is>
      </c>
      <c r="C53" s="23" t="inlineStr">
        <is>
          <t>남양주시</t>
        </is>
      </c>
      <c r="D53" s="23" t="inlineStr">
        <is>
          <t>경기도</t>
        </is>
      </c>
      <c r="E53" s="24" t="n">
        <v>5</v>
      </c>
      <c r="F53" s="24" t="n">
        <v>1</v>
      </c>
      <c r="G53" s="24" t="n">
        <v>5</v>
      </c>
      <c r="H53" s="24" t="n"/>
      <c r="I53" s="25" t="n"/>
      <c r="J53" s="21">
        <f>E54*2+F54*3+G54*0.6</f>
        <v/>
      </c>
      <c r="K53" s="21">
        <f>IF(J54&gt;=안내!$B$7,"상",IF(J54&gt;=안내!$B$8,"중","하"))</f>
        <v/>
      </c>
      <c r="L53" s="26" t="inlineStr">
        <is>
          <t>미방문</t>
        </is>
      </c>
      <c r="M53" s="27" t="n"/>
      <c r="N53" s="27" t="n"/>
      <c r="O53" s="27" t="n"/>
      <c r="P53" s="27" t="n"/>
      <c r="Q53" s="27" t="n"/>
      <c r="R53" s="27" t="n"/>
      <c r="S53" s="27" t="n"/>
      <c r="T53" s="27" t="n"/>
      <c r="U53" s="28" t="n"/>
      <c r="V53" s="28" t="n"/>
    </row>
    <row r="54" ht="15" customHeight="1" s="15">
      <c r="A54" s="21" t="n">
        <v>53</v>
      </c>
      <c r="B54" s="22" t="inlineStr">
        <is>
          <t>진접중학교</t>
        </is>
      </c>
      <c r="C54" s="23" t="inlineStr">
        <is>
          <t>남양주시</t>
        </is>
      </c>
      <c r="D54" s="23" t="inlineStr">
        <is>
          <t>경기도</t>
        </is>
      </c>
      <c r="E54" s="24" t="n">
        <v>4</v>
      </c>
      <c r="F54" s="24" t="n">
        <v>1</v>
      </c>
      <c r="G54" s="24" t="n">
        <v>8</v>
      </c>
      <c r="H54" s="24" t="n"/>
      <c r="I54" s="25" t="n"/>
      <c r="J54" s="21">
        <f>E55*2+F55*3+G55*0.6</f>
        <v/>
      </c>
      <c r="K54" s="21">
        <f>IF(J55&gt;=안내!$B$7,"상",IF(J55&gt;=안내!$B$8,"중","하"))</f>
        <v/>
      </c>
      <c r="L54" s="26" t="inlineStr">
        <is>
          <t>미방문</t>
        </is>
      </c>
      <c r="M54" s="27" t="n"/>
      <c r="N54" s="27" t="n"/>
      <c r="O54" s="27" t="n"/>
      <c r="P54" s="27" t="n"/>
      <c r="Q54" s="27" t="n"/>
      <c r="R54" s="27" t="n"/>
      <c r="S54" s="27" t="n"/>
      <c r="T54" s="27" t="n"/>
      <c r="U54" s="28" t="n"/>
      <c r="V54" s="28" t="n"/>
    </row>
    <row r="55" ht="15" customHeight="1" s="15">
      <c r="A55" s="21" t="n">
        <v>54</v>
      </c>
      <c r="B55" s="22" t="inlineStr">
        <is>
          <t>봉화중</t>
        </is>
      </c>
      <c r="C55" s="23" t="inlineStr">
        <is>
          <t>중랑구</t>
        </is>
      </c>
      <c r="D55" s="23" t="inlineStr">
        <is>
          <t>서울시</t>
        </is>
      </c>
      <c r="E55" s="24" t="n">
        <v>5</v>
      </c>
      <c r="F55" s="24" t="n">
        <v>1</v>
      </c>
      <c r="G55" s="24" t="n">
        <v>4</v>
      </c>
      <c r="H55" s="24" t="n"/>
      <c r="I55" s="25" t="inlineStr">
        <is>
          <t>메카</t>
        </is>
      </c>
      <c r="J55" s="21">
        <f>E56*2+F56*3+G56*0.6</f>
        <v/>
      </c>
      <c r="K55" s="21">
        <f>IF(J56&gt;=안내!$B$7,"상",IF(J56&gt;=안내!$B$8,"중","하"))</f>
        <v/>
      </c>
      <c r="L55" s="26" t="inlineStr">
        <is>
          <t>미방문</t>
        </is>
      </c>
      <c r="M55" s="27" t="n"/>
      <c r="N55" s="27" t="n"/>
      <c r="O55" s="27" t="n"/>
      <c r="P55" s="27" t="n"/>
      <c r="Q55" s="27" t="n"/>
      <c r="R55" s="27" t="n"/>
      <c r="S55" s="27" t="n"/>
      <c r="T55" s="27" t="n"/>
      <c r="U55" s="28" t="n"/>
      <c r="V55" s="28" t="n"/>
    </row>
    <row r="56" ht="15" customHeight="1" s="15">
      <c r="A56" s="21" t="n">
        <v>55</v>
      </c>
      <c r="B56" s="22" t="inlineStr">
        <is>
          <t>옥빛중학교</t>
        </is>
      </c>
      <c r="C56" s="23" t="inlineStr">
        <is>
          <t>양주시</t>
        </is>
      </c>
      <c r="D56" s="23" t="inlineStr">
        <is>
          <t>경기도</t>
        </is>
      </c>
      <c r="E56" s="24" t="n">
        <v>3</v>
      </c>
      <c r="F56" s="24" t="n">
        <v>0</v>
      </c>
      <c r="G56" s="24" t="n">
        <v>15</v>
      </c>
      <c r="H56" s="24" t="n"/>
      <c r="I56" s="25" t="n"/>
      <c r="J56" s="21">
        <f>E57*2+F57*3+G57*0.6</f>
        <v/>
      </c>
      <c r="K56" s="21">
        <f>IF(J57&gt;=안내!$B$7,"상",IF(J57&gt;=안내!$B$8,"중","하"))</f>
        <v/>
      </c>
      <c r="L56" s="26" t="inlineStr">
        <is>
          <t>미방문</t>
        </is>
      </c>
      <c r="M56" s="27" t="n"/>
      <c r="N56" s="27" t="n"/>
      <c r="O56" s="27" t="n"/>
      <c r="P56" s="27" t="n"/>
      <c r="Q56" s="27" t="n"/>
      <c r="R56" s="27" t="n"/>
      <c r="S56" s="27" t="n"/>
      <c r="T56" s="27" t="n"/>
      <c r="U56" s="28" t="n"/>
      <c r="V56" s="28" t="n"/>
    </row>
    <row r="57" ht="15" customHeight="1" s="15">
      <c r="A57" s="21" t="n">
        <v>56</v>
      </c>
      <c r="B57" s="22" t="inlineStr">
        <is>
          <t>어람중학교</t>
        </is>
      </c>
      <c r="C57" s="23" t="inlineStr">
        <is>
          <t>남양주시</t>
        </is>
      </c>
      <c r="D57" s="23" t="inlineStr">
        <is>
          <t>경기도</t>
        </is>
      </c>
      <c r="E57" s="24" t="n">
        <v>5</v>
      </c>
      <c r="F57" s="24" t="n">
        <v>0</v>
      </c>
      <c r="G57" s="24" t="n">
        <v>8</v>
      </c>
      <c r="H57" s="24" t="n"/>
      <c r="I57" s="25" t="inlineStr">
        <is>
          <t>전자</t>
        </is>
      </c>
      <c r="J57" s="21">
        <f>E58*2+F58*3+G58*0.6</f>
        <v/>
      </c>
      <c r="K57" s="21">
        <f>IF(J58&gt;=안내!$B$7,"상",IF(J58&gt;=안내!$B$8,"중","하"))</f>
        <v/>
      </c>
      <c r="L57" s="26" t="inlineStr">
        <is>
          <t>미방문</t>
        </is>
      </c>
      <c r="M57" s="27" t="n"/>
      <c r="N57" s="27" t="n"/>
      <c r="O57" s="27" t="n"/>
      <c r="P57" s="27" t="n"/>
      <c r="Q57" s="27" t="n"/>
      <c r="R57" s="27" t="n"/>
      <c r="S57" s="27" t="n"/>
      <c r="T57" s="27" t="n"/>
      <c r="U57" s="28" t="n"/>
      <c r="V57" s="28" t="n"/>
    </row>
    <row r="58" ht="15" customHeight="1" s="15">
      <c r="A58" s="21" t="n">
        <v>57</v>
      </c>
      <c r="B58" s="22" t="inlineStr">
        <is>
          <t>불암중학교</t>
        </is>
      </c>
      <c r="C58" s="23" t="inlineStr">
        <is>
          <t>노원구</t>
        </is>
      </c>
      <c r="D58" s="23" t="inlineStr">
        <is>
          <t>서울시</t>
        </is>
      </c>
      <c r="E58" s="24" t="n">
        <v>2</v>
      </c>
      <c r="F58" s="24" t="n">
        <v>1</v>
      </c>
      <c r="G58" s="24" t="n">
        <v>11</v>
      </c>
      <c r="H58" s="24" t="n"/>
      <c r="I58" s="25" t="inlineStr">
        <is>
          <t>자동화</t>
        </is>
      </c>
      <c r="J58" s="21">
        <f>E59*2+F59*3+G59*0.6</f>
        <v/>
      </c>
      <c r="K58" s="21">
        <f>IF(J59&gt;=안내!$B$7,"상",IF(J59&gt;=안내!$B$8,"중","하"))</f>
        <v/>
      </c>
      <c r="L58" s="26" t="inlineStr">
        <is>
          <t>미방문</t>
        </is>
      </c>
      <c r="M58" s="27" t="n"/>
      <c r="N58" s="27" t="n"/>
      <c r="O58" s="27" t="n"/>
      <c r="P58" s="27" t="n"/>
      <c r="Q58" s="27" t="n"/>
      <c r="R58" s="27" t="n"/>
      <c r="S58" s="27" t="n"/>
      <c r="T58" s="27" t="n"/>
      <c r="U58" s="28" t="n"/>
      <c r="V58" s="28" t="n"/>
    </row>
    <row r="59" ht="15" customHeight="1" s="15">
      <c r="A59" s="21" t="n">
        <v>58</v>
      </c>
      <c r="B59" s="22" t="inlineStr">
        <is>
          <t>서라벌중학교</t>
        </is>
      </c>
      <c r="C59" s="23" t="inlineStr">
        <is>
          <t>강북구</t>
        </is>
      </c>
      <c r="D59" s="23" t="inlineStr">
        <is>
          <t>서울시</t>
        </is>
      </c>
      <c r="E59" s="24" t="n">
        <v>4</v>
      </c>
      <c r="F59" s="24" t="n">
        <v>1</v>
      </c>
      <c r="G59" s="24" t="n">
        <v>4</v>
      </c>
      <c r="H59" s="24" t="n"/>
      <c r="I59" s="25" t="n"/>
      <c r="J59" s="21">
        <f>E60*2+F60*3+G60*0.6</f>
        <v/>
      </c>
      <c r="K59" s="21">
        <f>IF(J60&gt;=안내!$B$7,"상",IF(J60&gt;=안내!$B$8,"중","하"))</f>
        <v/>
      </c>
      <c r="L59" s="26" t="inlineStr">
        <is>
          <t>미방문</t>
        </is>
      </c>
      <c r="M59" s="27" t="n"/>
      <c r="N59" s="27" t="n"/>
      <c r="O59" s="27" t="n"/>
      <c r="P59" s="27" t="n"/>
      <c r="Q59" s="27" t="n"/>
      <c r="R59" s="27" t="n"/>
      <c r="S59" s="27" t="n"/>
      <c r="T59" s="27" t="n"/>
      <c r="U59" s="28" t="n"/>
      <c r="V59" s="28" t="n"/>
    </row>
    <row r="60" ht="15" customHeight="1" s="15">
      <c r="A60" s="21" t="n">
        <v>59</v>
      </c>
      <c r="B60" s="22" t="inlineStr">
        <is>
          <t>솔샘중학교</t>
        </is>
      </c>
      <c r="C60" s="23" t="inlineStr">
        <is>
          <t>강북구</t>
        </is>
      </c>
      <c r="D60" s="23" t="inlineStr">
        <is>
          <t>서울시</t>
        </is>
      </c>
      <c r="E60" s="24" t="n">
        <v>4</v>
      </c>
      <c r="F60" s="24" t="n">
        <v>1</v>
      </c>
      <c r="G60" s="24" t="n">
        <v>4</v>
      </c>
      <c r="H60" s="24" t="n"/>
      <c r="I60" s="25" t="n"/>
      <c r="J60" s="21">
        <f>E61*2+F61*3+G61*0.6</f>
        <v/>
      </c>
      <c r="K60" s="21">
        <f>IF(J61&gt;=안내!$B$7,"상",IF(J61&gt;=안내!$B$8,"중","하"))</f>
        <v/>
      </c>
      <c r="L60" s="26" t="inlineStr">
        <is>
          <t>미방문</t>
        </is>
      </c>
      <c r="M60" s="27" t="n"/>
      <c r="N60" s="27" t="n"/>
      <c r="O60" s="27" t="n"/>
      <c r="P60" s="27" t="n"/>
      <c r="Q60" s="27" t="n"/>
      <c r="R60" s="27" t="n"/>
      <c r="S60" s="27" t="n"/>
      <c r="T60" s="27" t="n"/>
      <c r="U60" s="28" t="n"/>
      <c r="V60" s="28" t="n"/>
    </row>
    <row r="61" ht="15" customHeight="1" s="15">
      <c r="A61" s="21" t="n">
        <v>60</v>
      </c>
      <c r="B61" s="22" t="inlineStr">
        <is>
          <t>양오중학교</t>
        </is>
      </c>
      <c r="C61" s="23" t="inlineStr">
        <is>
          <t>남양주시</t>
        </is>
      </c>
      <c r="D61" s="23" t="inlineStr">
        <is>
          <t>경기도</t>
        </is>
      </c>
      <c r="E61" s="24" t="n">
        <v>3</v>
      </c>
      <c r="F61" s="24" t="n">
        <v>1</v>
      </c>
      <c r="G61" s="24" t="n">
        <v>7</v>
      </c>
      <c r="H61" s="24" t="n"/>
      <c r="I61" s="25" t="n"/>
      <c r="J61" s="21">
        <f>E62*2+F62*3+G62*0.6</f>
        <v/>
      </c>
      <c r="K61" s="21">
        <f>IF(J62&gt;=안내!$B$7,"상",IF(J62&gt;=안내!$B$8,"중","하"))</f>
        <v/>
      </c>
      <c r="L61" s="26" t="inlineStr">
        <is>
          <t>미방문</t>
        </is>
      </c>
      <c r="M61" s="27" t="n"/>
      <c r="N61" s="27" t="n"/>
      <c r="O61" s="27" t="n"/>
      <c r="P61" s="27" t="n"/>
      <c r="Q61" s="27" t="n"/>
      <c r="R61" s="27" t="n"/>
      <c r="S61" s="27" t="n"/>
      <c r="T61" s="27" t="n"/>
      <c r="U61" s="28" t="n"/>
      <c r="V61" s="28" t="n"/>
    </row>
    <row r="62" ht="15" customHeight="1" s="15">
      <c r="A62" s="21" t="n">
        <v>61</v>
      </c>
      <c r="B62" s="22" t="inlineStr">
        <is>
          <t>상명중학교</t>
        </is>
      </c>
      <c r="C62" s="23" t="inlineStr">
        <is>
          <t>노원구</t>
        </is>
      </c>
      <c r="D62" s="23" t="inlineStr">
        <is>
          <t>서울시</t>
        </is>
      </c>
      <c r="E62" s="24" t="n">
        <v>2</v>
      </c>
      <c r="F62" s="24" t="n">
        <v>1</v>
      </c>
      <c r="G62" s="24" t="n">
        <v>9</v>
      </c>
      <c r="H62" s="24" t="n"/>
      <c r="I62" s="25" t="inlineStr">
        <is>
          <t>설비</t>
        </is>
      </c>
      <c r="J62" s="21">
        <f>E63*2+F63*3+G63*0.6</f>
        <v/>
      </c>
      <c r="K62" s="21">
        <f>IF(J63&gt;=안내!$B$7,"상",IF(J63&gt;=안내!$B$8,"중","하"))</f>
        <v/>
      </c>
      <c r="L62" s="26" t="inlineStr">
        <is>
          <t>미방문</t>
        </is>
      </c>
      <c r="M62" s="27" t="n"/>
      <c r="N62" s="27" t="n"/>
      <c r="O62" s="27" t="n"/>
      <c r="P62" s="27" t="n"/>
      <c r="Q62" s="27" t="n"/>
      <c r="R62" s="27" t="n"/>
      <c r="S62" s="27" t="n"/>
      <c r="T62" s="27" t="n"/>
      <c r="U62" s="28" t="n"/>
      <c r="V62" s="28" t="n"/>
    </row>
    <row r="63" ht="15" customHeight="1" s="15">
      <c r="A63" s="21" t="n">
        <v>62</v>
      </c>
      <c r="B63" s="22" t="inlineStr">
        <is>
          <t>중평중학교</t>
        </is>
      </c>
      <c r="C63" s="23" t="inlineStr">
        <is>
          <t>노원구</t>
        </is>
      </c>
      <c r="D63" s="23" t="inlineStr">
        <is>
          <t>서울시</t>
        </is>
      </c>
      <c r="E63" s="24" t="n">
        <v>2</v>
      </c>
      <c r="F63" s="24" t="n">
        <v>1</v>
      </c>
      <c r="G63" s="24" t="n">
        <v>9</v>
      </c>
      <c r="H63" s="24" t="n"/>
      <c r="I63" s="25" t="inlineStr">
        <is>
          <t>전자</t>
        </is>
      </c>
      <c r="J63" s="21">
        <f>E64*2+F64*3+G64*0.6</f>
        <v/>
      </c>
      <c r="K63" s="21">
        <f>IF(J64&gt;=안내!$B$7,"상",IF(J64&gt;=안내!$B$8,"중","하"))</f>
        <v/>
      </c>
      <c r="L63" s="26" t="inlineStr">
        <is>
          <t>미방문</t>
        </is>
      </c>
      <c r="M63" s="27" t="n"/>
      <c r="N63" s="27" t="n"/>
      <c r="O63" s="27" t="n"/>
      <c r="P63" s="27" t="n"/>
      <c r="Q63" s="27" t="n"/>
      <c r="R63" s="27" t="n"/>
      <c r="S63" s="27" t="n"/>
      <c r="T63" s="27" t="n"/>
      <c r="U63" s="28" t="n"/>
      <c r="V63" s="28" t="n"/>
    </row>
    <row r="64" ht="15" customHeight="1" s="15">
      <c r="A64" s="21" t="n">
        <v>63</v>
      </c>
      <c r="B64" s="22" t="inlineStr">
        <is>
          <t>미금중학교</t>
        </is>
      </c>
      <c r="C64" s="23" t="inlineStr">
        <is>
          <t>남양주시</t>
        </is>
      </c>
      <c r="D64" s="23" t="inlineStr">
        <is>
          <t>경기도</t>
        </is>
      </c>
      <c r="E64" s="24" t="n">
        <v>2</v>
      </c>
      <c r="F64" s="24" t="n">
        <v>2</v>
      </c>
      <c r="G64" s="24" t="n">
        <v>4</v>
      </c>
      <c r="H64" s="24" t="n"/>
      <c r="I64" s="25" t="n"/>
      <c r="J64" s="21">
        <f>E65*2+F65*3+G65*0.6</f>
        <v/>
      </c>
      <c r="K64" s="21">
        <f>IF(J65&gt;=안내!$B$7,"상",IF(J65&gt;=안내!$B$8,"중","하"))</f>
        <v/>
      </c>
      <c r="L64" s="26" t="inlineStr">
        <is>
          <t>미방문</t>
        </is>
      </c>
      <c r="M64" s="27" t="n"/>
      <c r="N64" s="27" t="n"/>
      <c r="O64" s="27" t="n"/>
      <c r="P64" s="27" t="n"/>
      <c r="Q64" s="27" t="n"/>
      <c r="R64" s="27" t="n"/>
      <c r="S64" s="27" t="n"/>
      <c r="T64" s="27" t="n"/>
      <c r="U64" s="28" t="n"/>
      <c r="V64" s="28" t="n"/>
    </row>
    <row r="65" ht="15" customHeight="1" s="15">
      <c r="A65" s="21" t="n">
        <v>64</v>
      </c>
      <c r="B65" s="22" t="inlineStr">
        <is>
          <t>상계제일중학교</t>
        </is>
      </c>
      <c r="C65" s="23" t="inlineStr">
        <is>
          <t>노원구</t>
        </is>
      </c>
      <c r="D65" s="23" t="inlineStr">
        <is>
          <t>서울시</t>
        </is>
      </c>
      <c r="E65" s="24" t="n">
        <v>4</v>
      </c>
      <c r="F65" s="24" t="n">
        <v>0</v>
      </c>
      <c r="G65" s="24" t="n">
        <v>7</v>
      </c>
      <c r="H65" s="24" t="n"/>
      <c r="I65" s="25" t="inlineStr">
        <is>
          <t>드론</t>
        </is>
      </c>
      <c r="J65" s="21">
        <f>E66*2+F66*3+G66*0.6</f>
        <v/>
      </c>
      <c r="K65" s="21">
        <f>IF(J66&gt;=안내!$B$7,"상",IF(J66&gt;=안내!$B$8,"중","하"))</f>
        <v/>
      </c>
      <c r="L65" s="26" t="inlineStr">
        <is>
          <t>미방문</t>
        </is>
      </c>
      <c r="M65" s="27" t="n"/>
      <c r="N65" s="27" t="n"/>
      <c r="O65" s="27" t="n"/>
      <c r="P65" s="27" t="n"/>
      <c r="Q65" s="27" t="n"/>
      <c r="R65" s="27" t="n"/>
      <c r="S65" s="27" t="n"/>
      <c r="T65" s="27" t="n"/>
      <c r="U65" s="28" t="n"/>
      <c r="V65" s="28" t="n"/>
    </row>
    <row r="66" ht="15" customHeight="1" s="15">
      <c r="A66" s="21" t="n">
        <v>65</v>
      </c>
      <c r="B66" s="22" t="inlineStr">
        <is>
          <t>창일중학교</t>
        </is>
      </c>
      <c r="C66" s="23" t="inlineStr">
        <is>
          <t>도봉구</t>
        </is>
      </c>
      <c r="D66" s="23" t="inlineStr">
        <is>
          <t>서울시</t>
        </is>
      </c>
      <c r="E66" s="24" t="n">
        <v>4</v>
      </c>
      <c r="F66" s="24" t="n">
        <v>0</v>
      </c>
      <c r="G66" s="24" t="n">
        <v>7</v>
      </c>
      <c r="H66" s="24" t="n"/>
      <c r="I66" s="25" t="n"/>
      <c r="J66" s="21">
        <f>E67*2+F67*3+G67*0.6</f>
        <v/>
      </c>
      <c r="K66" s="21">
        <f>IF(J67&gt;=안내!$B$7,"상",IF(J67&gt;=안내!$B$8,"중","하"))</f>
        <v/>
      </c>
      <c r="L66" s="26" t="inlineStr">
        <is>
          <t>미방문</t>
        </is>
      </c>
      <c r="M66" s="27" t="n"/>
      <c r="N66" s="27" t="n"/>
      <c r="O66" s="27" t="n"/>
      <c r="P66" s="27" t="n"/>
      <c r="Q66" s="27" t="n"/>
      <c r="R66" s="27" t="n"/>
      <c r="S66" s="27" t="n"/>
      <c r="T66" s="27" t="n"/>
      <c r="U66" s="28" t="n"/>
      <c r="V66" s="28" t="n"/>
    </row>
    <row r="67" ht="15" customHeight="1" s="15">
      <c r="A67" s="21" t="n">
        <v>66</v>
      </c>
      <c r="B67" s="22" t="inlineStr">
        <is>
          <t>청림중학교</t>
        </is>
      </c>
      <c r="C67" s="23" t="inlineStr">
        <is>
          <t>화성시</t>
        </is>
      </c>
      <c r="D67" s="23" t="inlineStr">
        <is>
          <t>경기도</t>
        </is>
      </c>
      <c r="E67" s="24" t="n">
        <v>1</v>
      </c>
      <c r="F67" s="24" t="n">
        <v>1</v>
      </c>
      <c r="G67" s="24" t="n">
        <v>12</v>
      </c>
      <c r="H67" s="24" t="n"/>
      <c r="I67" s="25" t="n"/>
      <c r="J67" s="21">
        <f>E68*2+F68*3+G68*0.6</f>
        <v/>
      </c>
      <c r="K67" s="21">
        <f>IF(J68&gt;=안내!$B$7,"상",IF(J68&gt;=안내!$B$8,"중","하"))</f>
        <v/>
      </c>
      <c r="L67" s="26" t="inlineStr">
        <is>
          <t>미방문</t>
        </is>
      </c>
      <c r="M67" s="27" t="n"/>
      <c r="N67" s="27" t="n"/>
      <c r="O67" s="27" t="n"/>
      <c r="P67" s="27" t="n"/>
      <c r="Q67" s="27" t="n"/>
      <c r="R67" s="27" t="n"/>
      <c r="S67" s="27" t="n"/>
      <c r="T67" s="27" t="n"/>
      <c r="U67" s="28" t="n"/>
      <c r="V67" s="28" t="n"/>
    </row>
    <row r="68" ht="15" customHeight="1" s="15">
      <c r="A68" s="21" t="n">
        <v>67</v>
      </c>
      <c r="B68" s="22" t="inlineStr">
        <is>
          <t>중계중학교</t>
        </is>
      </c>
      <c r="C68" s="23" t="inlineStr">
        <is>
          <t>노원구</t>
        </is>
      </c>
      <c r="D68" s="23" t="inlineStr">
        <is>
          <t>서울시</t>
        </is>
      </c>
      <c r="E68" s="24" t="n">
        <v>3</v>
      </c>
      <c r="F68" s="24" t="n">
        <v>0</v>
      </c>
      <c r="G68" s="24" t="n">
        <v>10</v>
      </c>
      <c r="H68" s="24" t="n"/>
      <c r="I68" s="25" t="inlineStr">
        <is>
          <t>자동화</t>
        </is>
      </c>
      <c r="J68" s="21">
        <f>E69*2+F69*3+G69*0.6</f>
        <v/>
      </c>
      <c r="K68" s="21">
        <f>IF(J69&gt;=안내!$B$7,"상",IF(J69&gt;=안내!$B$8,"중","하"))</f>
        <v/>
      </c>
      <c r="L68" s="26" t="inlineStr">
        <is>
          <t>미방문</t>
        </is>
      </c>
      <c r="M68" s="27" t="n"/>
      <c r="N68" s="27" t="n"/>
      <c r="O68" s="27" t="n"/>
      <c r="P68" s="27" t="n"/>
      <c r="Q68" s="27" t="n"/>
      <c r="R68" s="27" t="n"/>
      <c r="S68" s="27" t="n"/>
      <c r="T68" s="27" t="n"/>
      <c r="U68" s="28" t="n"/>
      <c r="V68" s="28" t="n"/>
    </row>
    <row r="69" ht="15" customHeight="1" s="15">
      <c r="A69" s="21" t="n">
        <v>68</v>
      </c>
      <c r="B69" s="22" t="inlineStr">
        <is>
          <t>호평중학교</t>
        </is>
      </c>
      <c r="C69" s="23" t="inlineStr">
        <is>
          <t>남양주시</t>
        </is>
      </c>
      <c r="D69" s="23" t="inlineStr">
        <is>
          <t>경기도</t>
        </is>
      </c>
      <c r="E69" s="24" t="n">
        <v>1</v>
      </c>
      <c r="F69" s="24" t="n">
        <v>1</v>
      </c>
      <c r="G69" s="24" t="n">
        <v>11</v>
      </c>
      <c r="H69" s="24" t="n"/>
      <c r="I69" s="25" t="n"/>
      <c r="J69" s="21">
        <f>E70*2+F70*3+G70*0.6</f>
        <v/>
      </c>
      <c r="K69" s="21">
        <f>IF(J70&gt;=안내!$B$7,"상",IF(J70&gt;=안내!$B$8,"중","하"))</f>
        <v/>
      </c>
      <c r="L69" s="26" t="inlineStr">
        <is>
          <t>미방문</t>
        </is>
      </c>
      <c r="M69" s="27" t="n"/>
      <c r="N69" s="27" t="n"/>
      <c r="O69" s="27" t="n"/>
      <c r="P69" s="27" t="n"/>
      <c r="Q69" s="27" t="n"/>
      <c r="R69" s="27" t="n"/>
      <c r="S69" s="27" t="n"/>
      <c r="T69" s="27" t="n"/>
      <c r="U69" s="28" t="n"/>
      <c r="V69" s="28" t="n"/>
    </row>
    <row r="70" ht="15" customHeight="1" s="15">
      <c r="A70" s="21" t="n">
        <v>69</v>
      </c>
      <c r="B70" s="22" t="inlineStr">
        <is>
          <t>경희중학교</t>
        </is>
      </c>
      <c r="C70" s="23" t="inlineStr">
        <is>
          <t>동대문구</t>
        </is>
      </c>
      <c r="D70" s="23" t="inlineStr">
        <is>
          <t>서울시</t>
        </is>
      </c>
      <c r="E70" s="24" t="n">
        <v>2</v>
      </c>
      <c r="F70" s="24" t="n">
        <v>1</v>
      </c>
      <c r="G70" s="24" t="n">
        <v>7</v>
      </c>
      <c r="H70" s="24" t="n"/>
      <c r="I70" s="25" t="inlineStr">
        <is>
          <t>드론</t>
        </is>
      </c>
      <c r="J70" s="21">
        <f>E71*2+F71*3+G71*0.6</f>
        <v/>
      </c>
      <c r="K70" s="21">
        <f>IF(J71&gt;=안내!$B$7,"상",IF(J71&gt;=안내!$B$8,"중","하"))</f>
        <v/>
      </c>
      <c r="L70" s="26" t="inlineStr">
        <is>
          <t>미방문</t>
        </is>
      </c>
      <c r="M70" s="27" t="n"/>
      <c r="N70" s="27" t="n"/>
      <c r="O70" s="27" t="n"/>
      <c r="P70" s="27" t="n"/>
      <c r="Q70" s="27" t="n"/>
      <c r="R70" s="27" t="n"/>
      <c r="S70" s="27" t="n"/>
      <c r="T70" s="27" t="n"/>
      <c r="U70" s="28" t="n"/>
      <c r="V70" s="28" t="n"/>
    </row>
    <row r="71" ht="15" customHeight="1" s="15">
      <c r="A71" s="21" t="n">
        <v>70</v>
      </c>
      <c r="B71" s="22" t="inlineStr">
        <is>
          <t>옥정중학교</t>
        </is>
      </c>
      <c r="C71" s="23" t="inlineStr">
        <is>
          <t>양주시</t>
        </is>
      </c>
      <c r="D71" s="23" t="inlineStr">
        <is>
          <t>경기도</t>
        </is>
      </c>
      <c r="E71" s="24" t="n">
        <v>1</v>
      </c>
      <c r="F71" s="24" t="n">
        <v>1</v>
      </c>
      <c r="G71" s="24" t="n">
        <v>10</v>
      </c>
      <c r="H71" s="24" t="n"/>
      <c r="I71" s="25" t="n"/>
      <c r="J71" s="21">
        <f>E72*2+F72*3+G72*0.6</f>
        <v/>
      </c>
      <c r="K71" s="21">
        <f>IF(J72&gt;=안내!$B$7,"상",IF(J72&gt;=안내!$B$8,"중","하"))</f>
        <v/>
      </c>
      <c r="L71" s="26" t="inlineStr">
        <is>
          <t>미방문</t>
        </is>
      </c>
      <c r="M71" s="27" t="n"/>
      <c r="N71" s="27" t="n"/>
      <c r="O71" s="27" t="n"/>
      <c r="P71" s="27" t="n"/>
      <c r="Q71" s="27" t="n"/>
      <c r="R71" s="27" t="n"/>
      <c r="S71" s="27" t="n"/>
      <c r="T71" s="27" t="n"/>
      <c r="U71" s="28" t="n"/>
      <c r="V71" s="28" t="n"/>
    </row>
    <row r="72" ht="15" customHeight="1" s="15">
      <c r="A72" s="21" t="n">
        <v>71</v>
      </c>
      <c r="B72" s="22" t="inlineStr">
        <is>
          <t>산내중학교</t>
        </is>
      </c>
      <c r="C72" s="23" t="inlineStr">
        <is>
          <t>파주시</t>
        </is>
      </c>
      <c r="D72" s="23" t="inlineStr">
        <is>
          <t>경기도</t>
        </is>
      </c>
      <c r="E72" s="24" t="n">
        <v>1</v>
      </c>
      <c r="F72" s="24" t="n">
        <v>1</v>
      </c>
      <c r="G72" s="24" t="n">
        <v>10</v>
      </c>
      <c r="H72" s="24" t="n"/>
      <c r="I72" s="25" t="n"/>
      <c r="J72" s="21">
        <f>E73*2+F73*3+G73*0.6</f>
        <v/>
      </c>
      <c r="K72" s="21">
        <f>IF(J73&gt;=안내!$B$7,"상",IF(J73&gt;=안내!$B$8,"중","하"))</f>
        <v/>
      </c>
      <c r="L72" s="26" t="inlineStr">
        <is>
          <t>미방문</t>
        </is>
      </c>
      <c r="M72" s="27" t="n"/>
      <c r="N72" s="27" t="n"/>
      <c r="O72" s="27" t="n"/>
      <c r="P72" s="27" t="n"/>
      <c r="Q72" s="27" t="n"/>
      <c r="R72" s="27" t="n"/>
      <c r="S72" s="27" t="n"/>
      <c r="T72" s="27" t="n"/>
      <c r="U72" s="28" t="n"/>
      <c r="V72" s="28" t="n"/>
    </row>
    <row r="73" ht="15" customHeight="1" s="15">
      <c r="A73" s="21" t="n">
        <v>72</v>
      </c>
      <c r="B73" s="22" t="inlineStr">
        <is>
          <t>광릉중학교</t>
        </is>
      </c>
      <c r="C73" s="23" t="inlineStr">
        <is>
          <t>남양주시</t>
        </is>
      </c>
      <c r="D73" s="23" t="inlineStr">
        <is>
          <t>경기도</t>
        </is>
      </c>
      <c r="E73" s="24" t="n">
        <v>3</v>
      </c>
      <c r="F73" s="24" t="n">
        <v>1</v>
      </c>
      <c r="G73" s="24" t="n">
        <v>3</v>
      </c>
      <c r="H73" s="24" t="n"/>
      <c r="I73" s="25" t="n"/>
      <c r="J73" s="21">
        <f>E74*2+F74*3+G74*0.6</f>
        <v/>
      </c>
      <c r="K73" s="21">
        <f>IF(J74&gt;=안내!$B$7,"상",IF(J74&gt;=안내!$B$8,"중","하"))</f>
        <v/>
      </c>
      <c r="L73" s="26" t="inlineStr">
        <is>
          <t>미방문</t>
        </is>
      </c>
      <c r="M73" s="27" t="n"/>
      <c r="N73" s="27" t="n"/>
      <c r="O73" s="27" t="n"/>
      <c r="P73" s="27" t="n"/>
      <c r="Q73" s="27" t="n"/>
      <c r="R73" s="27" t="n"/>
      <c r="S73" s="27" t="n"/>
      <c r="T73" s="27" t="n"/>
      <c r="U73" s="28" t="n"/>
      <c r="V73" s="28" t="n"/>
    </row>
    <row r="74" ht="15" customHeight="1" s="15">
      <c r="A74" s="21" t="n">
        <v>73</v>
      </c>
      <c r="B74" s="22" t="inlineStr">
        <is>
          <t>번동중학교</t>
        </is>
      </c>
      <c r="C74" s="23" t="inlineStr">
        <is>
          <t>강북구</t>
        </is>
      </c>
      <c r="D74" s="23" t="inlineStr">
        <is>
          <t>서울시</t>
        </is>
      </c>
      <c r="E74" s="24" t="n">
        <v>2</v>
      </c>
      <c r="F74" s="24" t="n">
        <v>1</v>
      </c>
      <c r="G74" s="24" t="n">
        <v>6</v>
      </c>
      <c r="H74" s="24" t="n"/>
      <c r="I74" s="25" t="n"/>
      <c r="J74" s="21">
        <f>E75*2+F75*3+G75*0.6</f>
        <v/>
      </c>
      <c r="K74" s="21">
        <f>IF(J75&gt;=안내!$B$7,"상",IF(J75&gt;=안내!$B$8,"중","하"))</f>
        <v/>
      </c>
      <c r="L74" s="26" t="inlineStr">
        <is>
          <t>미방문</t>
        </is>
      </c>
      <c r="M74" s="27" t="n"/>
      <c r="N74" s="27" t="n"/>
      <c r="O74" s="27" t="n"/>
      <c r="P74" s="27" t="n"/>
      <c r="Q74" s="27" t="n"/>
      <c r="R74" s="27" t="n"/>
      <c r="S74" s="27" t="n"/>
      <c r="T74" s="27" t="n"/>
      <c r="U74" s="28" t="n"/>
      <c r="V74" s="28" t="n"/>
    </row>
    <row r="75" ht="15" customHeight="1" s="15">
      <c r="A75" s="21" t="n">
        <v>74</v>
      </c>
      <c r="B75" s="22" t="inlineStr">
        <is>
          <t>신방학중학교</t>
        </is>
      </c>
      <c r="C75" s="23" t="inlineStr">
        <is>
          <t>도봉구</t>
        </is>
      </c>
      <c r="D75" s="23" t="inlineStr">
        <is>
          <t>서울시</t>
        </is>
      </c>
      <c r="E75" s="24" t="n">
        <v>2</v>
      </c>
      <c r="F75" s="24" t="n">
        <v>1</v>
      </c>
      <c r="G75" s="24" t="n">
        <v>6</v>
      </c>
      <c r="H75" s="24" t="n"/>
      <c r="I75" s="25" t="n"/>
      <c r="J75" s="21">
        <f>E76*2+F76*3+G76*0.6</f>
        <v/>
      </c>
      <c r="K75" s="21">
        <f>IF(J76&gt;=안내!$B$7,"상",IF(J76&gt;=안내!$B$8,"중","하"))</f>
        <v/>
      </c>
      <c r="L75" s="26" t="inlineStr">
        <is>
          <t>미방문</t>
        </is>
      </c>
      <c r="M75" s="27" t="n"/>
      <c r="N75" s="27" t="n"/>
      <c r="O75" s="27" t="n"/>
      <c r="P75" s="27" t="n"/>
      <c r="Q75" s="27" t="n"/>
      <c r="R75" s="27" t="n"/>
      <c r="S75" s="27" t="n"/>
      <c r="T75" s="27" t="n"/>
      <c r="U75" s="28" t="n"/>
      <c r="V75" s="28" t="n"/>
    </row>
    <row r="76" ht="15" customHeight="1" s="15">
      <c r="A76" s="21" t="n">
        <v>75</v>
      </c>
      <c r="B76" s="22" t="inlineStr">
        <is>
          <t>삼숭중학교</t>
        </is>
      </c>
      <c r="C76" s="23" t="inlineStr">
        <is>
          <t>양주시</t>
        </is>
      </c>
      <c r="D76" s="23" t="inlineStr">
        <is>
          <t>경기도</t>
        </is>
      </c>
      <c r="E76" s="24" t="n">
        <v>2</v>
      </c>
      <c r="F76" s="24" t="n">
        <v>0</v>
      </c>
      <c r="G76" s="24" t="n">
        <v>11</v>
      </c>
      <c r="H76" s="24" t="n"/>
      <c r="I76" s="25" t="n"/>
      <c r="J76" s="21">
        <f>E77*2+F77*3+G77*0.6</f>
        <v/>
      </c>
      <c r="K76" s="21">
        <f>IF(J77&gt;=안내!$B$7,"상",IF(J77&gt;=안내!$B$8,"중","하"))</f>
        <v/>
      </c>
      <c r="L76" s="26" t="inlineStr">
        <is>
          <t>미방문</t>
        </is>
      </c>
      <c r="M76" s="27" t="n"/>
      <c r="N76" s="27" t="n"/>
      <c r="O76" s="27" t="n"/>
      <c r="P76" s="27" t="n"/>
      <c r="Q76" s="27" t="n"/>
      <c r="R76" s="27" t="n"/>
      <c r="S76" s="27" t="n"/>
      <c r="T76" s="27" t="n"/>
      <c r="U76" s="28" t="n"/>
      <c r="V76" s="28" t="n"/>
    </row>
    <row r="77" ht="15" customHeight="1" s="15">
      <c r="A77" s="21" t="n">
        <v>76</v>
      </c>
      <c r="B77" s="22" t="inlineStr">
        <is>
          <t>다산새봄중학교</t>
        </is>
      </c>
      <c r="C77" s="23" t="inlineStr">
        <is>
          <t>남양주시</t>
        </is>
      </c>
      <c r="D77" s="23" t="inlineStr">
        <is>
          <t>경기도</t>
        </is>
      </c>
      <c r="E77" s="24" t="n">
        <v>2</v>
      </c>
      <c r="F77" s="24" t="n">
        <v>0</v>
      </c>
      <c r="G77" s="24" t="n">
        <v>11</v>
      </c>
      <c r="H77" s="24" t="n"/>
      <c r="I77" s="25" t="inlineStr">
        <is>
          <t>재료</t>
        </is>
      </c>
      <c r="J77" s="21">
        <f>E78*2+F78*3+G78*0.6</f>
        <v/>
      </c>
      <c r="K77" s="21">
        <f>IF(J78&gt;=안내!$B$7,"상",IF(J78&gt;=안내!$B$8,"중","하"))</f>
        <v/>
      </c>
      <c r="L77" s="26" t="inlineStr">
        <is>
          <t>미방문</t>
        </is>
      </c>
      <c r="M77" s="27" t="n"/>
      <c r="N77" s="27" t="n"/>
      <c r="O77" s="27" t="n"/>
      <c r="P77" s="27" t="n"/>
      <c r="Q77" s="27" t="n"/>
      <c r="R77" s="27" t="n"/>
      <c r="S77" s="27" t="n"/>
      <c r="T77" s="27" t="n"/>
      <c r="U77" s="28" t="n"/>
      <c r="V77" s="28" t="n"/>
    </row>
    <row r="78" ht="15" customHeight="1" s="15">
      <c r="A78" s="21" t="n">
        <v>77</v>
      </c>
      <c r="B78" s="22" t="inlineStr">
        <is>
          <t>토평중학교</t>
        </is>
      </c>
      <c r="C78" s="23" t="inlineStr">
        <is>
          <t>구리시</t>
        </is>
      </c>
      <c r="D78" s="23" t="inlineStr">
        <is>
          <t>경기도</t>
        </is>
      </c>
      <c r="E78" s="24" t="n">
        <v>2</v>
      </c>
      <c r="F78" s="24" t="n">
        <v>1</v>
      </c>
      <c r="G78" s="24" t="n">
        <v>6</v>
      </c>
      <c r="H78" s="24" t="n"/>
      <c r="I78" s="25" t="n"/>
      <c r="J78" s="21">
        <f>E79*2+F79*3+G79*0.6</f>
        <v/>
      </c>
      <c r="K78" s="21">
        <f>IF(J79&gt;=안내!$B$7,"상",IF(J79&gt;=안내!$B$8,"중","하"))</f>
        <v/>
      </c>
      <c r="L78" s="26" t="inlineStr">
        <is>
          <t>미방문</t>
        </is>
      </c>
      <c r="M78" s="27" t="n"/>
      <c r="N78" s="27" t="n"/>
      <c r="O78" s="27" t="n"/>
      <c r="P78" s="27" t="n"/>
      <c r="Q78" s="27" t="n"/>
      <c r="R78" s="27" t="n"/>
      <c r="S78" s="27" t="n"/>
      <c r="T78" s="27" t="n"/>
      <c r="U78" s="28" t="n"/>
      <c r="V78" s="28" t="n"/>
    </row>
    <row r="79" ht="15" customHeight="1" s="15">
      <c r="A79" s="21" t="n">
        <v>78</v>
      </c>
      <c r="B79" s="22" t="inlineStr">
        <is>
          <t>자양중학교</t>
        </is>
      </c>
      <c r="C79" s="23" t="inlineStr">
        <is>
          <t>광진구</t>
        </is>
      </c>
      <c r="D79" s="23" t="inlineStr">
        <is>
          <t>서울시</t>
        </is>
      </c>
      <c r="E79" s="24" t="n">
        <v>1</v>
      </c>
      <c r="F79" s="24" t="n">
        <v>1</v>
      </c>
      <c r="G79" s="24" t="n">
        <v>9</v>
      </c>
      <c r="H79" s="24" t="n"/>
      <c r="I79" s="25" t="n"/>
      <c r="J79" s="21">
        <f>E80*2+F80*3+G80*0.6</f>
        <v/>
      </c>
      <c r="K79" s="21">
        <f>IF(J80&gt;=안내!$B$7,"상",IF(J80&gt;=안내!$B$8,"중","하"))</f>
        <v/>
      </c>
      <c r="L79" s="26" t="inlineStr">
        <is>
          <t>미방문</t>
        </is>
      </c>
      <c r="M79" s="27" t="n"/>
      <c r="N79" s="27" t="n"/>
      <c r="O79" s="27" t="n"/>
      <c r="P79" s="27" t="n"/>
      <c r="Q79" s="27" t="n"/>
      <c r="R79" s="27" t="n"/>
      <c r="S79" s="27" t="n"/>
      <c r="T79" s="27" t="n"/>
      <c r="U79" s="28" t="n"/>
      <c r="V79" s="28" t="n"/>
    </row>
    <row r="80" ht="15" customHeight="1" s="15">
      <c r="A80" s="21" t="n">
        <v>79</v>
      </c>
      <c r="B80" s="22" t="inlineStr">
        <is>
          <t>장내중학교</t>
        </is>
      </c>
      <c r="C80" s="23" t="inlineStr">
        <is>
          <t>남양주시</t>
        </is>
      </c>
      <c r="D80" s="23" t="inlineStr">
        <is>
          <t>경기도</t>
        </is>
      </c>
      <c r="E80" s="24" t="n">
        <v>1</v>
      </c>
      <c r="F80" s="24" t="n">
        <v>1</v>
      </c>
      <c r="G80" s="24" t="n">
        <v>9</v>
      </c>
      <c r="H80" s="24" t="n"/>
      <c r="I80" s="25" t="n"/>
      <c r="J80" s="21">
        <f>E81*2+F81*3+G81*0.6</f>
        <v/>
      </c>
      <c r="K80" s="21">
        <f>IF(J81&gt;=안내!$B$7,"상",IF(J81&gt;=안내!$B$8,"중","하"))</f>
        <v/>
      </c>
      <c r="L80" s="26" t="inlineStr">
        <is>
          <t>미방문</t>
        </is>
      </c>
      <c r="M80" s="27" t="n"/>
      <c r="N80" s="27" t="n"/>
      <c r="O80" s="27" t="n"/>
      <c r="P80" s="27" t="n"/>
      <c r="Q80" s="27" t="n"/>
      <c r="R80" s="27" t="n"/>
      <c r="S80" s="27" t="n"/>
      <c r="T80" s="27" t="n"/>
      <c r="U80" s="28" t="n"/>
      <c r="V80" s="28" t="n"/>
    </row>
    <row r="81" ht="15" customHeight="1" s="15">
      <c r="A81" s="21" t="n">
        <v>80</v>
      </c>
      <c r="B81" s="22" t="inlineStr">
        <is>
          <t>덕계중학교</t>
        </is>
      </c>
      <c r="C81" s="23" t="inlineStr">
        <is>
          <t>양주시</t>
        </is>
      </c>
      <c r="D81" s="23" t="inlineStr">
        <is>
          <t>경기도</t>
        </is>
      </c>
      <c r="E81" s="24" t="n">
        <v>1</v>
      </c>
      <c r="F81" s="24" t="n">
        <v>1</v>
      </c>
      <c r="G81" s="24" t="n">
        <v>9</v>
      </c>
      <c r="H81" s="24" t="n"/>
      <c r="I81" s="25" t="n"/>
      <c r="J81" s="21">
        <f>E82*2+F82*3+G82*0.6</f>
        <v/>
      </c>
      <c r="K81" s="21">
        <f>IF(J82&gt;=안내!$B$7,"상",IF(J82&gt;=안내!$B$8,"중","하"))</f>
        <v/>
      </c>
      <c r="L81" s="26" t="inlineStr">
        <is>
          <t>미방문</t>
        </is>
      </c>
      <c r="M81" s="27" t="n"/>
      <c r="N81" s="27" t="n"/>
      <c r="O81" s="27" t="n"/>
      <c r="P81" s="27" t="n"/>
      <c r="Q81" s="27" t="n"/>
      <c r="R81" s="27" t="n"/>
      <c r="S81" s="27" t="n"/>
      <c r="T81" s="27" t="n"/>
      <c r="U81" s="28" t="n"/>
      <c r="V81" s="28" t="n"/>
    </row>
    <row r="82" ht="15" customHeight="1" s="15">
      <c r="A82" s="21" t="n">
        <v>81</v>
      </c>
      <c r="B82" s="22" t="inlineStr">
        <is>
          <t>광동중학교</t>
        </is>
      </c>
      <c r="C82" s="23" t="inlineStr">
        <is>
          <t>남양주시</t>
        </is>
      </c>
      <c r="D82" s="23" t="inlineStr">
        <is>
          <t>경기도</t>
        </is>
      </c>
      <c r="E82" s="24" t="n">
        <v>3</v>
      </c>
      <c r="F82" s="24" t="n">
        <v>0</v>
      </c>
      <c r="G82" s="24" t="n">
        <v>7</v>
      </c>
      <c r="H82" s="24" t="n"/>
      <c r="I82" s="25" t="n"/>
      <c r="J82" s="21">
        <f>E83*2+F83*3+G83*0.6</f>
        <v/>
      </c>
      <c r="K82" s="21">
        <f>IF(J83&gt;=안내!$B$7,"상",IF(J83&gt;=안내!$B$8,"중","하"))</f>
        <v/>
      </c>
      <c r="L82" s="26" t="inlineStr">
        <is>
          <t>미방문</t>
        </is>
      </c>
      <c r="M82" s="27" t="n"/>
      <c r="N82" s="27" t="n"/>
      <c r="O82" s="27" t="n"/>
      <c r="P82" s="27" t="n"/>
      <c r="Q82" s="27" t="n"/>
      <c r="R82" s="27" t="n"/>
      <c r="S82" s="27" t="n"/>
      <c r="T82" s="27" t="n"/>
      <c r="U82" s="28" t="n"/>
      <c r="V82" s="28" t="n"/>
    </row>
    <row r="83" ht="15" customHeight="1" s="15">
      <c r="A83" s="21" t="n">
        <v>82</v>
      </c>
      <c r="B83" s="22" t="inlineStr">
        <is>
          <t>충의중학교</t>
        </is>
      </c>
      <c r="C83" s="23" t="inlineStr">
        <is>
          <t>의정부시</t>
        </is>
      </c>
      <c r="D83" s="23" t="inlineStr">
        <is>
          <t>경기도</t>
        </is>
      </c>
      <c r="E83" s="24" t="n">
        <v>2</v>
      </c>
      <c r="F83" s="24" t="n">
        <v>0</v>
      </c>
      <c r="G83" s="24" t="n">
        <v>10</v>
      </c>
      <c r="H83" s="24" t="n"/>
      <c r="I83" s="25" t="n"/>
      <c r="J83" s="21">
        <f>E84*2+F84*3+G84*0.6</f>
        <v/>
      </c>
      <c r="K83" s="21">
        <f>IF(J84&gt;=안내!$B$7,"상",IF(J84&gt;=안내!$B$8,"중","하"))</f>
        <v/>
      </c>
      <c r="L83" s="26" t="inlineStr">
        <is>
          <t>미방문</t>
        </is>
      </c>
      <c r="M83" s="27" t="n"/>
      <c r="N83" s="27" t="n"/>
      <c r="O83" s="27" t="n"/>
      <c r="P83" s="27" t="n"/>
      <c r="Q83" s="27" t="n"/>
      <c r="R83" s="27" t="n"/>
      <c r="S83" s="27" t="n"/>
      <c r="T83" s="27" t="n"/>
      <c r="U83" s="28" t="n"/>
      <c r="V83" s="28" t="n"/>
    </row>
    <row r="84" ht="15" customHeight="1" s="15">
      <c r="A84" s="21" t="n">
        <v>83</v>
      </c>
      <c r="B84" s="22" t="inlineStr">
        <is>
          <t>을지중학교</t>
        </is>
      </c>
      <c r="C84" s="23" t="inlineStr">
        <is>
          <t>노원구</t>
        </is>
      </c>
      <c r="D84" s="23" t="inlineStr">
        <is>
          <t>서울시</t>
        </is>
      </c>
      <c r="E84" s="24" t="n">
        <v>1</v>
      </c>
      <c r="F84" s="24" t="n">
        <v>1</v>
      </c>
      <c r="G84" s="24" t="n">
        <v>8</v>
      </c>
      <c r="H84" s="24" t="n"/>
      <c r="I84" s="25" t="n"/>
      <c r="J84" s="21">
        <f>E85*2+F85*3+G85*0.6</f>
        <v/>
      </c>
      <c r="K84" s="21">
        <f>IF(J85&gt;=안내!$B$7,"상",IF(J85&gt;=안내!$B$8,"중","하"))</f>
        <v/>
      </c>
      <c r="L84" s="26" t="inlineStr">
        <is>
          <t>미방문</t>
        </is>
      </c>
      <c r="M84" s="27" t="n"/>
      <c r="N84" s="27" t="n"/>
      <c r="O84" s="27" t="n"/>
      <c r="P84" s="27" t="n"/>
      <c r="Q84" s="27" t="n"/>
      <c r="R84" s="27" t="n"/>
      <c r="S84" s="27" t="n"/>
      <c r="T84" s="27" t="n"/>
      <c r="U84" s="28" t="n"/>
      <c r="V84" s="28" t="n"/>
    </row>
    <row r="85" ht="15" customHeight="1" s="15">
      <c r="A85" s="21" t="n">
        <v>84</v>
      </c>
      <c r="B85" s="22" t="inlineStr">
        <is>
          <t>와부중학교</t>
        </is>
      </c>
      <c r="C85" s="23" t="inlineStr">
        <is>
          <t>남양주시</t>
        </is>
      </c>
      <c r="D85" s="23" t="inlineStr">
        <is>
          <t>경기도</t>
        </is>
      </c>
      <c r="E85" s="24" t="n">
        <v>1</v>
      </c>
      <c r="F85" s="24" t="n">
        <v>1</v>
      </c>
      <c r="G85" s="24" t="n">
        <v>8</v>
      </c>
      <c r="H85" s="24" t="n"/>
      <c r="I85" s="25" t="n"/>
      <c r="J85" s="21">
        <f>E86*2+F86*3+G86*0.6</f>
        <v/>
      </c>
      <c r="K85" s="21">
        <f>IF(J86&gt;=안내!$B$7,"상",IF(J86&gt;=안내!$B$8,"중","하"))</f>
        <v/>
      </c>
      <c r="L85" s="26" t="inlineStr">
        <is>
          <t>미방문</t>
        </is>
      </c>
      <c r="M85" s="27" t="n"/>
      <c r="N85" s="27" t="n"/>
      <c r="O85" s="27" t="n"/>
      <c r="P85" s="27" t="n"/>
      <c r="Q85" s="27" t="n"/>
      <c r="R85" s="27" t="n"/>
      <c r="S85" s="27" t="n"/>
      <c r="T85" s="27" t="n"/>
      <c r="U85" s="28" t="n"/>
      <c r="V85" s="28" t="n"/>
    </row>
    <row r="86" ht="15" customHeight="1" s="15">
      <c r="A86" s="21" t="n">
        <v>85</v>
      </c>
      <c r="B86" s="22" t="inlineStr">
        <is>
          <t>양주백석중학교</t>
        </is>
      </c>
      <c r="C86" s="23" t="inlineStr">
        <is>
          <t>양주시</t>
        </is>
      </c>
      <c r="D86" s="23" t="inlineStr">
        <is>
          <t>경기도</t>
        </is>
      </c>
      <c r="E86" s="24" t="n">
        <v>1</v>
      </c>
      <c r="F86" s="24" t="n">
        <v>1</v>
      </c>
      <c r="G86" s="24" t="n">
        <v>8</v>
      </c>
      <c r="H86" s="24" t="n"/>
      <c r="I86" s="25" t="n"/>
      <c r="J86" s="21">
        <f>E87*2+F87*3+G87*0.6</f>
        <v/>
      </c>
      <c r="K86" s="21">
        <f>IF(J87&gt;=안내!$B$7,"상",IF(J87&gt;=안내!$B$8,"중","하"))</f>
        <v/>
      </c>
      <c r="L86" s="26" t="inlineStr">
        <is>
          <t>미방문</t>
        </is>
      </c>
      <c r="M86" s="27" t="n"/>
      <c r="N86" s="27" t="n"/>
      <c r="O86" s="27" t="n"/>
      <c r="P86" s="27" t="n"/>
      <c r="Q86" s="27" t="n"/>
      <c r="R86" s="27" t="n"/>
      <c r="S86" s="27" t="n"/>
      <c r="T86" s="27" t="n"/>
      <c r="U86" s="28" t="n"/>
      <c r="V86" s="28" t="n"/>
    </row>
    <row r="87" ht="15" customHeight="1" s="15">
      <c r="A87" s="21" t="n">
        <v>86</v>
      </c>
      <c r="B87" s="22" t="inlineStr">
        <is>
          <t>교문중학교</t>
        </is>
      </c>
      <c r="C87" s="23" t="inlineStr">
        <is>
          <t>구리시</t>
        </is>
      </c>
      <c r="D87" s="23" t="inlineStr">
        <is>
          <t>경기도</t>
        </is>
      </c>
      <c r="E87" s="24" t="n">
        <v>3</v>
      </c>
      <c r="F87" s="24" t="n">
        <v>0</v>
      </c>
      <c r="G87" s="24" t="n">
        <v>6</v>
      </c>
      <c r="H87" s="24" t="n"/>
      <c r="I87" s="25" t="n"/>
      <c r="J87" s="21">
        <f>E88*2+F88*3+G88*0.6</f>
        <v/>
      </c>
      <c r="K87" s="21">
        <f>IF(J88&gt;=안내!$B$7,"상",IF(J88&gt;=안내!$B$8,"중","하"))</f>
        <v/>
      </c>
      <c r="L87" s="26" t="inlineStr">
        <is>
          <t>미방문</t>
        </is>
      </c>
      <c r="M87" s="27" t="n"/>
      <c r="N87" s="27" t="n"/>
      <c r="O87" s="27" t="n"/>
      <c r="P87" s="27" t="n"/>
      <c r="Q87" s="27" t="n"/>
      <c r="R87" s="27" t="n"/>
      <c r="S87" s="27" t="n"/>
      <c r="T87" s="27" t="n"/>
      <c r="U87" s="28" t="n"/>
      <c r="V87" s="28" t="n"/>
    </row>
    <row r="88" ht="15" customHeight="1" s="15">
      <c r="A88" s="21" t="n">
        <v>87</v>
      </c>
      <c r="B88" s="22" t="inlineStr">
        <is>
          <t>효문중학교</t>
        </is>
      </c>
      <c r="C88" s="23" t="inlineStr">
        <is>
          <t>도봉구</t>
        </is>
      </c>
      <c r="D88" s="23" t="inlineStr">
        <is>
          <t>서울시</t>
        </is>
      </c>
      <c r="E88" s="24" t="n">
        <v>2</v>
      </c>
      <c r="F88" s="24" t="n">
        <v>1</v>
      </c>
      <c r="G88" s="24" t="n">
        <v>4</v>
      </c>
      <c r="H88" s="24" t="n"/>
      <c r="I88" s="25" t="n"/>
      <c r="J88" s="21">
        <f>E89*2+F89*3+G89*0.6</f>
        <v/>
      </c>
      <c r="K88" s="21">
        <f>IF(J89&gt;=안내!$B$7,"상",IF(J89&gt;=안내!$B$8,"중","하"))</f>
        <v/>
      </c>
      <c r="L88" s="26" t="inlineStr">
        <is>
          <t>미방문</t>
        </is>
      </c>
      <c r="M88" s="27" t="n"/>
      <c r="N88" s="27" t="n"/>
      <c r="O88" s="27" t="n"/>
      <c r="P88" s="27" t="n"/>
      <c r="Q88" s="27" t="n"/>
      <c r="R88" s="27" t="n"/>
      <c r="S88" s="27" t="n"/>
      <c r="T88" s="27" t="n"/>
      <c r="U88" s="28" t="n"/>
      <c r="V88" s="28" t="n"/>
    </row>
    <row r="89" ht="15" customHeight="1" s="15">
      <c r="A89" s="21" t="n">
        <v>88</v>
      </c>
      <c r="B89" s="22" t="inlineStr">
        <is>
          <t>송라중학교</t>
        </is>
      </c>
      <c r="C89" s="23" t="inlineStr">
        <is>
          <t>남양주시</t>
        </is>
      </c>
      <c r="D89" s="23" t="inlineStr">
        <is>
          <t>경기도</t>
        </is>
      </c>
      <c r="E89" s="24" t="n">
        <v>2</v>
      </c>
      <c r="F89" s="24" t="n">
        <v>0</v>
      </c>
      <c r="G89" s="24" t="n">
        <v>9</v>
      </c>
      <c r="H89" s="24" t="n"/>
      <c r="I89" s="25" t="n"/>
      <c r="J89" s="21">
        <f>E90*2+F90*3+G90*0.6</f>
        <v/>
      </c>
      <c r="K89" s="21">
        <f>IF(J90&gt;=안내!$B$7,"상",IF(J90&gt;=안내!$B$8,"중","하"))</f>
        <v/>
      </c>
      <c r="L89" s="26" t="inlineStr">
        <is>
          <t>미방문</t>
        </is>
      </c>
      <c r="M89" s="27" t="n"/>
      <c r="N89" s="27" t="n"/>
      <c r="O89" s="27" t="n"/>
      <c r="P89" s="27" t="n"/>
      <c r="Q89" s="27" t="n"/>
      <c r="R89" s="27" t="n"/>
      <c r="S89" s="27" t="n"/>
      <c r="T89" s="27" t="n"/>
      <c r="U89" s="28" t="n"/>
      <c r="V89" s="28" t="n"/>
    </row>
    <row r="90" ht="15" customHeight="1" s="15">
      <c r="A90" s="21" t="n">
        <v>89</v>
      </c>
      <c r="B90" s="22" t="inlineStr">
        <is>
          <t>강동중학교</t>
        </is>
      </c>
      <c r="C90" s="23" t="inlineStr">
        <is>
          <t>강동구</t>
        </is>
      </c>
      <c r="D90" s="23" t="inlineStr">
        <is>
          <t>서울시</t>
        </is>
      </c>
      <c r="E90" s="24" t="n">
        <v>1</v>
      </c>
      <c r="F90" s="24" t="n">
        <v>1</v>
      </c>
      <c r="G90" s="24" t="n">
        <v>7</v>
      </c>
      <c r="H90" s="24" t="n"/>
      <c r="I90" s="25" t="n"/>
      <c r="J90" s="21">
        <f>E91*2+F91*3+G91*0.6</f>
        <v/>
      </c>
      <c r="K90" s="21">
        <f>IF(J91&gt;=안내!$B$7,"상",IF(J91&gt;=안내!$B$8,"중","하"))</f>
        <v/>
      </c>
      <c r="L90" s="26" t="inlineStr">
        <is>
          <t>미방문</t>
        </is>
      </c>
      <c r="M90" s="27" t="n"/>
      <c r="N90" s="27" t="n"/>
      <c r="O90" s="27" t="n"/>
      <c r="P90" s="27" t="n"/>
      <c r="Q90" s="27" t="n"/>
      <c r="R90" s="27" t="n"/>
      <c r="S90" s="27" t="n"/>
      <c r="T90" s="27" t="n"/>
      <c r="U90" s="28" t="n"/>
      <c r="V90" s="28" t="n"/>
    </row>
    <row r="91" ht="15" customHeight="1" s="15">
      <c r="A91" s="21" t="n">
        <v>90</v>
      </c>
      <c r="B91" s="22" t="inlineStr">
        <is>
          <t>성남서중학교</t>
        </is>
      </c>
      <c r="C91" s="23" t="inlineStr">
        <is>
          <t>성남시</t>
        </is>
      </c>
      <c r="D91" s="23" t="inlineStr">
        <is>
          <t>경기도</t>
        </is>
      </c>
      <c r="E91" s="24" t="n">
        <v>1</v>
      </c>
      <c r="F91" s="24" t="n">
        <v>1</v>
      </c>
      <c r="G91" s="24" t="n">
        <v>7</v>
      </c>
      <c r="H91" s="24" t="n"/>
      <c r="I91" s="25" t="n"/>
      <c r="J91" s="21">
        <f>E92*2+F92*3+G92*0.6</f>
        <v/>
      </c>
      <c r="K91" s="21">
        <f>IF(J92&gt;=안내!$B$7,"상",IF(J92&gt;=안내!$B$8,"중","하"))</f>
        <v/>
      </c>
      <c r="L91" s="26" t="inlineStr">
        <is>
          <t>미방문</t>
        </is>
      </c>
      <c r="M91" s="27" t="n"/>
      <c r="N91" s="27" t="n"/>
      <c r="O91" s="27" t="n"/>
      <c r="P91" s="27" t="n"/>
      <c r="Q91" s="27" t="n"/>
      <c r="R91" s="27" t="n"/>
      <c r="S91" s="27" t="n"/>
      <c r="T91" s="27" t="n"/>
      <c r="U91" s="28" t="n"/>
      <c r="V91" s="28" t="n"/>
    </row>
    <row r="92" ht="15" customHeight="1" s="15">
      <c r="A92" s="21" t="n">
        <v>91</v>
      </c>
      <c r="B92" s="22" t="inlineStr">
        <is>
          <t>광양중학교</t>
        </is>
      </c>
      <c r="C92" s="23" t="inlineStr">
        <is>
          <t>광진구</t>
        </is>
      </c>
      <c r="D92" s="23" t="inlineStr">
        <is>
          <t>서울시</t>
        </is>
      </c>
      <c r="E92" s="24" t="n">
        <v>3</v>
      </c>
      <c r="F92" s="24" t="n">
        <v>0</v>
      </c>
      <c r="G92" s="24" t="n">
        <v>5</v>
      </c>
      <c r="H92" s="24" t="n"/>
      <c r="I92" s="25" t="inlineStr">
        <is>
          <t>메카</t>
        </is>
      </c>
      <c r="J92" s="21">
        <f>E93*2+F93*3+G93*0.6</f>
        <v/>
      </c>
      <c r="K92" s="21">
        <f>IF(J93&gt;=안내!$B$7,"상",IF(J93&gt;=안내!$B$8,"중","하"))</f>
        <v/>
      </c>
      <c r="L92" s="26" t="inlineStr">
        <is>
          <t>미방문</t>
        </is>
      </c>
      <c r="M92" s="27" t="n"/>
      <c r="N92" s="27" t="n"/>
      <c r="O92" s="27" t="n"/>
      <c r="P92" s="27" t="n"/>
      <c r="Q92" s="27" t="n"/>
      <c r="R92" s="27" t="n"/>
      <c r="S92" s="27" t="n"/>
      <c r="T92" s="27" t="n"/>
      <c r="U92" s="28" t="n"/>
      <c r="V92" s="28" t="n"/>
    </row>
    <row r="93" ht="15" customHeight="1" s="15">
      <c r="A93" s="21" t="n">
        <v>92</v>
      </c>
      <c r="B93" s="22" t="inlineStr">
        <is>
          <t>예봉중학교</t>
        </is>
      </c>
      <c r="C93" s="23" t="inlineStr">
        <is>
          <t>남양주시</t>
        </is>
      </c>
      <c r="D93" s="23" t="inlineStr">
        <is>
          <t>경기도</t>
        </is>
      </c>
      <c r="E93" s="24" t="n">
        <v>2</v>
      </c>
      <c r="F93" s="24" t="n">
        <v>0</v>
      </c>
      <c r="G93" s="24" t="n">
        <v>8</v>
      </c>
      <c r="H93" s="24" t="n"/>
      <c r="I93" s="25" t="n"/>
      <c r="J93" s="21">
        <f>E94*2+F94*3+G94*0.6</f>
        <v/>
      </c>
      <c r="K93" s="21">
        <f>IF(J94&gt;=안내!$B$7,"상",IF(J94&gt;=안내!$B$8,"중","하"))</f>
        <v/>
      </c>
      <c r="L93" s="26" t="inlineStr">
        <is>
          <t>미방문</t>
        </is>
      </c>
      <c r="M93" s="27" t="n"/>
      <c r="N93" s="27" t="n"/>
      <c r="O93" s="27" t="n"/>
      <c r="P93" s="27" t="n"/>
      <c r="Q93" s="27" t="n"/>
      <c r="R93" s="27" t="n"/>
      <c r="S93" s="27" t="n"/>
      <c r="T93" s="27" t="n"/>
      <c r="U93" s="28" t="n"/>
      <c r="V93" s="28" t="n"/>
    </row>
    <row r="94" ht="15" customHeight="1" s="15">
      <c r="A94" s="21" t="n">
        <v>93</v>
      </c>
      <c r="B94" s="22" t="inlineStr">
        <is>
          <t>상경중학교</t>
        </is>
      </c>
      <c r="C94" s="23" t="inlineStr">
        <is>
          <t>노원구</t>
        </is>
      </c>
      <c r="D94" s="23" t="inlineStr">
        <is>
          <t>서울시</t>
        </is>
      </c>
      <c r="E94" s="24" t="n">
        <v>1</v>
      </c>
      <c r="F94" s="24" t="n">
        <v>1</v>
      </c>
      <c r="G94" s="24" t="n">
        <v>6</v>
      </c>
      <c r="H94" s="24" t="n"/>
      <c r="I94" s="25" t="inlineStr">
        <is>
          <t>전자</t>
        </is>
      </c>
      <c r="J94" s="21">
        <f>E95*2+F95*3+G95*0.6</f>
        <v/>
      </c>
      <c r="K94" s="21">
        <f>IF(J95&gt;=안내!$B$7,"상",IF(J95&gt;=안내!$B$8,"중","하"))</f>
        <v/>
      </c>
      <c r="L94" s="26" t="inlineStr">
        <is>
          <t>미방문</t>
        </is>
      </c>
      <c r="M94" s="27" t="n"/>
      <c r="N94" s="27" t="n"/>
      <c r="O94" s="27" t="n"/>
      <c r="P94" s="27" t="n"/>
      <c r="Q94" s="27" t="n"/>
      <c r="R94" s="27" t="n"/>
      <c r="S94" s="27" t="n"/>
      <c r="T94" s="27" t="n"/>
      <c r="U94" s="28" t="n"/>
      <c r="V94" s="28" t="n"/>
    </row>
    <row r="95" ht="15" customHeight="1" s="15">
      <c r="A95" s="21" t="n">
        <v>94</v>
      </c>
      <c r="B95" s="22" t="inlineStr">
        <is>
          <t>온곡중학교</t>
        </is>
      </c>
      <c r="C95" s="23" t="inlineStr">
        <is>
          <t>노원구</t>
        </is>
      </c>
      <c r="D95" s="23" t="inlineStr">
        <is>
          <t>서울시</t>
        </is>
      </c>
      <c r="E95" s="24" t="n">
        <v>1</v>
      </c>
      <c r="F95" s="24" t="n">
        <v>1</v>
      </c>
      <c r="G95" s="24" t="n">
        <v>6</v>
      </c>
      <c r="H95" s="24" t="n"/>
      <c r="I95" s="25" t="inlineStr">
        <is>
          <t>전자</t>
        </is>
      </c>
      <c r="J95" s="21">
        <f>E96*2+F96*3+G96*0.6</f>
        <v/>
      </c>
      <c r="K95" s="21">
        <f>IF(J96&gt;=안내!$B$7,"상",IF(J96&gt;=안내!$B$8,"중","하"))</f>
        <v/>
      </c>
      <c r="L95" s="26" t="inlineStr">
        <is>
          <t>미방문</t>
        </is>
      </c>
      <c r="M95" s="27" t="n"/>
      <c r="N95" s="27" t="n"/>
      <c r="O95" s="27" t="n"/>
      <c r="P95" s="27" t="n"/>
      <c r="Q95" s="27" t="n"/>
      <c r="R95" s="27" t="n"/>
      <c r="S95" s="27" t="n"/>
      <c r="T95" s="27" t="n"/>
      <c r="U95" s="28" t="n"/>
      <c r="V95" s="28" t="n"/>
    </row>
    <row r="96" ht="15" customHeight="1" s="15">
      <c r="A96" s="21" t="n">
        <v>95</v>
      </c>
      <c r="B96" s="22" t="inlineStr">
        <is>
          <t>개봉중학교</t>
        </is>
      </c>
      <c r="C96" s="23" t="inlineStr">
        <is>
          <t>구로구</t>
        </is>
      </c>
      <c r="D96" s="23" t="inlineStr">
        <is>
          <t>서울시</t>
        </is>
      </c>
      <c r="E96" s="24" t="n">
        <v>1</v>
      </c>
      <c r="F96" s="24" t="n">
        <v>1</v>
      </c>
      <c r="G96" s="24" t="n">
        <v>6</v>
      </c>
      <c r="H96" s="24" t="n"/>
      <c r="I96" s="25" t="n"/>
      <c r="J96" s="21">
        <f>E97*2+F97*3+G97*0.6</f>
        <v/>
      </c>
      <c r="K96" s="21">
        <f>IF(J97&gt;=안내!$B$7,"상",IF(J97&gt;=안내!$B$8,"중","하"))</f>
        <v/>
      </c>
      <c r="L96" s="26" t="inlineStr">
        <is>
          <t>미방문</t>
        </is>
      </c>
      <c r="M96" s="27" t="n"/>
      <c r="N96" s="27" t="n"/>
      <c r="O96" s="27" t="n"/>
      <c r="P96" s="27" t="n"/>
      <c r="Q96" s="27" t="n"/>
      <c r="R96" s="27" t="n"/>
      <c r="S96" s="27" t="n"/>
      <c r="T96" s="27" t="n"/>
      <c r="U96" s="28" t="n"/>
      <c r="V96" s="28" t="n"/>
    </row>
    <row r="97" ht="15" customHeight="1" s="15">
      <c r="A97" s="21" t="n">
        <v>96</v>
      </c>
      <c r="B97" s="22" t="inlineStr">
        <is>
          <t>덕현중학교</t>
        </is>
      </c>
      <c r="C97" s="23" t="inlineStr">
        <is>
          <t>양주시</t>
        </is>
      </c>
      <c r="D97" s="23" t="inlineStr">
        <is>
          <t>경기도</t>
        </is>
      </c>
      <c r="E97" s="24" t="n">
        <v>1</v>
      </c>
      <c r="F97" s="24" t="n">
        <v>0</v>
      </c>
      <c r="G97" s="24" t="n">
        <v>11</v>
      </c>
      <c r="H97" s="24" t="n"/>
      <c r="I97" s="25" t="n"/>
      <c r="J97" s="21">
        <f>E98*2+F98*3+G98*0.6</f>
        <v/>
      </c>
      <c r="K97" s="21">
        <f>IF(J98&gt;=안내!$B$7,"상",IF(J98&gt;=안내!$B$8,"중","하"))</f>
        <v/>
      </c>
      <c r="L97" s="26" t="inlineStr">
        <is>
          <t>미방문</t>
        </is>
      </c>
      <c r="M97" s="27" t="n"/>
      <c r="N97" s="27" t="n"/>
      <c r="O97" s="27" t="n"/>
      <c r="P97" s="27" t="n"/>
      <c r="Q97" s="27" t="n"/>
      <c r="R97" s="27" t="n"/>
      <c r="S97" s="27" t="n"/>
      <c r="T97" s="27" t="n"/>
      <c r="U97" s="28" t="n"/>
      <c r="V97" s="28" t="n"/>
    </row>
    <row r="98" ht="15" customHeight="1" s="15">
      <c r="A98" s="21" t="n">
        <v>97</v>
      </c>
      <c r="B98" s="22" t="inlineStr">
        <is>
          <t>장자중학교</t>
        </is>
      </c>
      <c r="C98" s="23" t="inlineStr">
        <is>
          <t>구리시</t>
        </is>
      </c>
      <c r="D98" s="23" t="inlineStr">
        <is>
          <t>경기도</t>
        </is>
      </c>
      <c r="E98" s="24" t="n">
        <v>1</v>
      </c>
      <c r="F98" s="24" t="n">
        <v>1</v>
      </c>
      <c r="G98" s="24" t="n">
        <v>6</v>
      </c>
      <c r="H98" s="24" t="n"/>
      <c r="I98" s="25" t="n"/>
      <c r="J98" s="21">
        <f>E99*2+F99*3+G99*0.6</f>
        <v/>
      </c>
      <c r="K98" s="21">
        <f>IF(J99&gt;=안내!$B$7,"상",IF(J99&gt;=안내!$B$8,"중","하"))</f>
        <v/>
      </c>
      <c r="L98" s="26" t="inlineStr">
        <is>
          <t>미방문</t>
        </is>
      </c>
      <c r="M98" s="27" t="n"/>
      <c r="N98" s="27" t="n"/>
      <c r="O98" s="27" t="n"/>
      <c r="P98" s="27" t="n"/>
      <c r="Q98" s="27" t="n"/>
      <c r="R98" s="27" t="n"/>
      <c r="S98" s="27" t="n"/>
      <c r="T98" s="27" t="n"/>
      <c r="U98" s="28" t="n"/>
      <c r="V98" s="28" t="n"/>
    </row>
    <row r="99" ht="15" customHeight="1" s="15">
      <c r="A99" s="21" t="n">
        <v>98</v>
      </c>
      <c r="B99" s="22" t="inlineStr">
        <is>
          <t>성사중학교</t>
        </is>
      </c>
      <c r="C99" s="23" t="inlineStr">
        <is>
          <t>고양시</t>
        </is>
      </c>
      <c r="D99" s="23" t="inlineStr">
        <is>
          <t>경기도</t>
        </is>
      </c>
      <c r="E99" s="24" t="n">
        <v>1</v>
      </c>
      <c r="F99" s="24" t="n">
        <v>1</v>
      </c>
      <c r="G99" s="24" t="n">
        <v>6</v>
      </c>
      <c r="H99" s="24" t="n"/>
      <c r="I99" s="25" t="n"/>
      <c r="J99" s="21">
        <f>E100*2+F100*3+G100*0.6</f>
        <v/>
      </c>
      <c r="K99" s="21">
        <f>IF(J100&gt;=안내!$B$7,"상",IF(J100&gt;=안내!$B$8,"중","하"))</f>
        <v/>
      </c>
      <c r="L99" s="26" t="inlineStr">
        <is>
          <t>미방문</t>
        </is>
      </c>
      <c r="M99" s="27" t="n"/>
      <c r="N99" s="27" t="n"/>
      <c r="O99" s="27" t="n"/>
      <c r="P99" s="27" t="n"/>
      <c r="Q99" s="27" t="n"/>
      <c r="R99" s="27" t="n"/>
      <c r="S99" s="27" t="n"/>
      <c r="T99" s="27" t="n"/>
      <c r="U99" s="28" t="n"/>
      <c r="V99" s="28" t="n"/>
    </row>
    <row r="100" ht="15" customHeight="1" s="15">
      <c r="A100" s="21" t="n">
        <v>99</v>
      </c>
      <c r="B100" s="22" t="inlineStr">
        <is>
          <t>수송중학교</t>
        </is>
      </c>
      <c r="C100" s="23" t="inlineStr">
        <is>
          <t>강북구</t>
        </is>
      </c>
      <c r="D100" s="23" t="inlineStr">
        <is>
          <t>서울시</t>
        </is>
      </c>
      <c r="E100" s="24" t="n">
        <v>3</v>
      </c>
      <c r="F100" s="24" t="n">
        <v>0</v>
      </c>
      <c r="G100" s="24" t="n">
        <v>4</v>
      </c>
      <c r="H100" s="24" t="n"/>
      <c r="I100" s="25" t="inlineStr">
        <is>
          <t>하이텍</t>
        </is>
      </c>
      <c r="J100" s="21">
        <f>E101*2+F101*3+G101*0.6</f>
        <v/>
      </c>
      <c r="K100" s="21">
        <f>IF(J101&gt;=안내!$B$7,"상",IF(J101&gt;=안내!$B$8,"중","하"))</f>
        <v/>
      </c>
      <c r="L100" s="26" t="inlineStr">
        <is>
          <t>미방문</t>
        </is>
      </c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8" t="n"/>
      <c r="V100" s="28" t="n"/>
    </row>
    <row r="101" ht="15" customHeight="1" s="15">
      <c r="A101" s="21" t="n">
        <v>100</v>
      </c>
      <c r="B101" s="22" t="inlineStr">
        <is>
          <t>주곡중학교</t>
        </is>
      </c>
      <c r="C101" s="23" t="inlineStr">
        <is>
          <t>남양주시</t>
        </is>
      </c>
      <c r="D101" s="23" t="inlineStr">
        <is>
          <t>경기도</t>
        </is>
      </c>
      <c r="E101" s="24" t="n">
        <v>2</v>
      </c>
      <c r="F101" s="24" t="n">
        <v>0</v>
      </c>
      <c r="G101" s="24" t="n">
        <v>7</v>
      </c>
      <c r="H101" s="24" t="n"/>
      <c r="I101" s="25" t="n"/>
      <c r="J101" s="21">
        <f>E102*2+F102*3+G102*0.6</f>
        <v/>
      </c>
      <c r="K101" s="21">
        <f>IF(J102&gt;=안내!$B$7,"상",IF(J102&gt;=안내!$B$8,"중","하"))</f>
        <v/>
      </c>
      <c r="L101" s="26" t="inlineStr">
        <is>
          <t>미방문</t>
        </is>
      </c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8" t="n"/>
      <c r="V101" s="28" t="n"/>
    </row>
    <row r="102" ht="15" customHeight="1" s="15">
      <c r="A102" s="21" t="n">
        <v>101</v>
      </c>
      <c r="B102" s="22" t="inlineStr">
        <is>
          <t>수락중학교</t>
        </is>
      </c>
      <c r="C102" s="23" t="inlineStr">
        <is>
          <t>노원구</t>
        </is>
      </c>
      <c r="D102" s="23" t="inlineStr">
        <is>
          <t>서울시</t>
        </is>
      </c>
      <c r="E102" s="24" t="n">
        <v>1</v>
      </c>
      <c r="F102" s="24" t="n">
        <v>1</v>
      </c>
      <c r="G102" s="24" t="n">
        <v>5</v>
      </c>
      <c r="H102" s="24" t="n"/>
      <c r="I102" s="25" t="inlineStr">
        <is>
          <t>전자</t>
        </is>
      </c>
      <c r="J102" s="21">
        <f>E103*2+F103*3+G103*0.6</f>
        <v/>
      </c>
      <c r="K102" s="21">
        <f>IF(J103&gt;=안내!$B$7,"상",IF(J103&gt;=안내!$B$8,"중","하"))</f>
        <v/>
      </c>
      <c r="L102" s="26" t="inlineStr">
        <is>
          <t>미방문</t>
        </is>
      </c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8" t="n"/>
      <c r="V102" s="28" t="n"/>
    </row>
    <row r="103" ht="15" customHeight="1" s="15">
      <c r="A103" s="21" t="n">
        <v>102</v>
      </c>
      <c r="B103" s="22" t="inlineStr">
        <is>
          <t>염광중학교</t>
        </is>
      </c>
      <c r="C103" s="23" t="inlineStr">
        <is>
          <t>노원구</t>
        </is>
      </c>
      <c r="D103" s="23" t="inlineStr">
        <is>
          <t>서울시</t>
        </is>
      </c>
      <c r="E103" s="24" t="n">
        <v>1</v>
      </c>
      <c r="F103" s="24" t="n">
        <v>1</v>
      </c>
      <c r="G103" s="24" t="n">
        <v>5</v>
      </c>
      <c r="H103" s="24" t="n"/>
      <c r="I103" s="25" t="n"/>
      <c r="J103" s="21">
        <f>E104*2+F104*3+G104*0.6</f>
        <v/>
      </c>
      <c r="K103" s="21">
        <f>IF(J104&gt;=안내!$B$7,"상",IF(J104&gt;=안내!$B$8,"중","하"))</f>
        <v/>
      </c>
      <c r="L103" s="26" t="inlineStr">
        <is>
          <t>미방문</t>
        </is>
      </c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8" t="n"/>
      <c r="V103" s="28" t="n"/>
    </row>
    <row r="104" ht="15" customHeight="1" s="15">
      <c r="A104" s="21" t="n">
        <v>103</v>
      </c>
      <c r="B104" s="22" t="inlineStr">
        <is>
          <t>송양중학교</t>
        </is>
      </c>
      <c r="C104" s="23" t="inlineStr">
        <is>
          <t>의정부시</t>
        </is>
      </c>
      <c r="D104" s="23" t="inlineStr">
        <is>
          <t>경기도</t>
        </is>
      </c>
      <c r="E104" s="24" t="n">
        <v>1</v>
      </c>
      <c r="F104" s="24" t="n">
        <v>0</v>
      </c>
      <c r="G104" s="24" t="n">
        <v>10</v>
      </c>
      <c r="H104" s="24" t="n"/>
      <c r="I104" s="25" t="n"/>
      <c r="J104" s="21">
        <f>E105*2+F105*3+G105*0.6</f>
        <v/>
      </c>
      <c r="K104" s="21">
        <f>IF(J105&gt;=안내!$B$7,"상",IF(J105&gt;=안내!$B$8,"중","하"))</f>
        <v/>
      </c>
      <c r="L104" s="26" t="inlineStr">
        <is>
          <t>미방문</t>
        </is>
      </c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8" t="n"/>
      <c r="V104" s="28" t="n"/>
    </row>
    <row r="105" ht="15" customHeight="1" s="15">
      <c r="A105" s="21" t="n">
        <v>104</v>
      </c>
      <c r="B105" s="22" t="inlineStr">
        <is>
          <t>솔뫼중학교</t>
        </is>
      </c>
      <c r="C105" s="23" t="inlineStr">
        <is>
          <t>의정부시</t>
        </is>
      </c>
      <c r="D105" s="23" t="inlineStr">
        <is>
          <t>경기도</t>
        </is>
      </c>
      <c r="E105" s="24" t="n">
        <v>1</v>
      </c>
      <c r="F105" s="24" t="n">
        <v>1</v>
      </c>
      <c r="G105" s="24" t="n">
        <v>5</v>
      </c>
      <c r="H105" s="24" t="n"/>
      <c r="I105" s="25" t="n"/>
      <c r="J105" s="21">
        <f>E106*2+F106*3+G106*0.6</f>
        <v/>
      </c>
      <c r="K105" s="21">
        <f>IF(J106&gt;=안내!$B$7,"상",IF(J106&gt;=안내!$B$8,"중","하"))</f>
        <v/>
      </c>
      <c r="L105" s="26" t="inlineStr">
        <is>
          <t>미방문</t>
        </is>
      </c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8" t="n"/>
      <c r="V105" s="28" t="n"/>
    </row>
    <row r="106" ht="15" customHeight="1" s="15">
      <c r="A106" s="21" t="n">
        <v>105</v>
      </c>
      <c r="B106" s="22" t="inlineStr">
        <is>
          <t>천마중학교</t>
        </is>
      </c>
      <c r="C106" s="23" t="inlineStr">
        <is>
          <t>남양주시</t>
        </is>
      </c>
      <c r="D106" s="23" t="inlineStr">
        <is>
          <t>경기도</t>
        </is>
      </c>
      <c r="E106" s="24" t="n">
        <v>2</v>
      </c>
      <c r="F106" s="24" t="n">
        <v>0</v>
      </c>
      <c r="G106" s="24" t="n">
        <v>6</v>
      </c>
      <c r="H106" s="24" t="n"/>
      <c r="I106" s="25" t="n"/>
      <c r="J106" s="21">
        <f>E107*2+F107*3+G107*0.6</f>
        <v/>
      </c>
      <c r="K106" s="21">
        <f>IF(J107&gt;=안내!$B$7,"상",IF(J107&gt;=안내!$B$8,"중","하"))</f>
        <v/>
      </c>
      <c r="L106" s="26" t="inlineStr">
        <is>
          <t>미방문</t>
        </is>
      </c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8" t="n"/>
      <c r="V106" s="28" t="n"/>
    </row>
    <row r="107" ht="15" customHeight="1" s="15">
      <c r="A107" s="21" t="n">
        <v>106</v>
      </c>
      <c r="B107" s="22" t="inlineStr">
        <is>
          <t>선덕중학교</t>
        </is>
      </c>
      <c r="C107" s="23" t="inlineStr">
        <is>
          <t>도봉구</t>
        </is>
      </c>
      <c r="D107" s="23" t="inlineStr">
        <is>
          <t>서울시</t>
        </is>
      </c>
      <c r="E107" s="24" t="n">
        <v>1</v>
      </c>
      <c r="F107" s="24" t="n">
        <v>0</v>
      </c>
      <c r="G107" s="24" t="n">
        <v>9</v>
      </c>
      <c r="H107" s="24" t="n"/>
      <c r="I107" s="25" t="n"/>
      <c r="J107" s="21">
        <f>E108*2+F108*3+G108*0.6</f>
        <v/>
      </c>
      <c r="K107" s="21">
        <f>IF(J108&gt;=안내!$B$7,"상",IF(J108&gt;=안내!$B$8,"중","하"))</f>
        <v/>
      </c>
      <c r="L107" s="26" t="inlineStr">
        <is>
          <t>미방문</t>
        </is>
      </c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8" t="n"/>
      <c r="V107" s="28" t="n"/>
    </row>
    <row r="108" ht="15" customHeight="1" s="15">
      <c r="A108" s="21" t="n">
        <v>107</v>
      </c>
      <c r="B108" s="22" t="inlineStr">
        <is>
          <t>장위중학교</t>
        </is>
      </c>
      <c r="C108" s="23" t="inlineStr">
        <is>
          <t>성북구</t>
        </is>
      </c>
      <c r="D108" s="23" t="inlineStr">
        <is>
          <t>서울시</t>
        </is>
      </c>
      <c r="E108" s="24" t="n">
        <v>1</v>
      </c>
      <c r="F108" s="24" t="n">
        <v>0</v>
      </c>
      <c r="G108" s="24" t="n">
        <v>9</v>
      </c>
      <c r="H108" s="24" t="n"/>
      <c r="I108" s="25" t="inlineStr">
        <is>
          <t>드론</t>
        </is>
      </c>
      <c r="J108" s="21">
        <f>E109*2+F109*3+G109*0.6</f>
        <v/>
      </c>
      <c r="K108" s="21">
        <f>IF(J109&gt;=안내!$B$7,"상",IF(J109&gt;=안내!$B$8,"중","하"))</f>
        <v/>
      </c>
      <c r="L108" s="26" t="inlineStr">
        <is>
          <t>미방문</t>
        </is>
      </c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8" t="n"/>
      <c r="V108" s="28" t="n"/>
    </row>
    <row r="109" ht="15" customHeight="1" s="15">
      <c r="A109" s="21" t="n">
        <v>108</v>
      </c>
      <c r="B109" s="22" t="inlineStr">
        <is>
          <t>상원중학교</t>
        </is>
      </c>
      <c r="C109" s="23" t="inlineStr">
        <is>
          <t>노원구</t>
        </is>
      </c>
      <c r="D109" s="23" t="inlineStr">
        <is>
          <t>서울시</t>
        </is>
      </c>
      <c r="E109" s="24" t="n">
        <v>2</v>
      </c>
      <c r="F109" s="24" t="n">
        <v>0</v>
      </c>
      <c r="G109" s="24" t="n">
        <v>5</v>
      </c>
      <c r="H109" s="24" t="n"/>
      <c r="I109" s="25" t="n"/>
      <c r="J109" s="21">
        <f>E110*2+F110*3+G110*0.6</f>
        <v/>
      </c>
      <c r="K109" s="21">
        <f>IF(J110&gt;=안내!$B$7,"상",IF(J110&gt;=안내!$B$8,"중","하"))</f>
        <v/>
      </c>
      <c r="L109" s="26" t="inlineStr">
        <is>
          <t>미방문</t>
        </is>
      </c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 t="n"/>
      <c r="V109" s="28" t="n"/>
    </row>
    <row r="110" ht="15" customHeight="1" s="15">
      <c r="A110" s="21" t="n">
        <v>109</v>
      </c>
      <c r="B110" s="22" t="inlineStr">
        <is>
          <t>동대문중학교</t>
        </is>
      </c>
      <c r="C110" s="23" t="inlineStr">
        <is>
          <t>동대문구</t>
        </is>
      </c>
      <c r="D110" s="23" t="inlineStr">
        <is>
          <t>서울시</t>
        </is>
      </c>
      <c r="E110" s="24" t="n">
        <v>1</v>
      </c>
      <c r="F110" s="24" t="n">
        <v>0</v>
      </c>
      <c r="G110" s="24" t="n">
        <v>8</v>
      </c>
      <c r="H110" s="24" t="n"/>
      <c r="I110" s="25" t="n"/>
      <c r="J110" s="21">
        <f>E111*2+F111*3+G111*0.6</f>
        <v/>
      </c>
      <c r="K110" s="21">
        <f>IF(J111&gt;=안내!$B$7,"상",IF(J111&gt;=안내!$B$8,"중","하"))</f>
        <v/>
      </c>
      <c r="L110" s="26" t="inlineStr">
        <is>
          <t>미방문</t>
        </is>
      </c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 t="n"/>
      <c r="V110" s="28" t="n"/>
    </row>
    <row r="111" ht="15" customHeight="1" s="15">
      <c r="A111" s="21" t="n">
        <v>110</v>
      </c>
      <c r="B111" s="22" t="inlineStr">
        <is>
          <t>남문중학교</t>
        </is>
      </c>
      <c r="C111" s="23" t="inlineStr">
        <is>
          <t>양주시</t>
        </is>
      </c>
      <c r="D111" s="23" t="inlineStr">
        <is>
          <t>경기도</t>
        </is>
      </c>
      <c r="E111" s="24" t="n">
        <v>1</v>
      </c>
      <c r="F111" s="24" t="n">
        <v>1</v>
      </c>
      <c r="G111" s="24" t="n">
        <v>3</v>
      </c>
      <c r="H111" s="24" t="n"/>
      <c r="I111" s="25" t="n"/>
      <c r="J111" s="21">
        <f>E112*2+F112*3+G112*0.6</f>
        <v/>
      </c>
      <c r="K111" s="21">
        <f>IF(J112&gt;=안내!$B$7,"상",IF(J112&gt;=안내!$B$8,"중","하"))</f>
        <v/>
      </c>
      <c r="L111" s="26" t="inlineStr">
        <is>
          <t>미방문</t>
        </is>
      </c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 t="n"/>
      <c r="V111" s="28" t="n"/>
    </row>
    <row r="112" ht="15" customHeight="1" s="15">
      <c r="A112" s="21" t="n">
        <v>111</v>
      </c>
      <c r="B112" s="22" t="inlineStr">
        <is>
          <t>성일중학교</t>
        </is>
      </c>
      <c r="C112" s="23" t="inlineStr">
        <is>
          <t>동대문구</t>
        </is>
      </c>
      <c r="D112" s="23" t="inlineStr">
        <is>
          <t>서울시</t>
        </is>
      </c>
      <c r="E112" s="24" t="n">
        <v>2</v>
      </c>
      <c r="F112" s="24" t="n">
        <v>0</v>
      </c>
      <c r="G112" s="24" t="n">
        <v>4</v>
      </c>
      <c r="H112" s="24" t="n"/>
      <c r="I112" s="25" t="n"/>
      <c r="J112" s="21">
        <f>E113*2+F113*3+G113*0.6</f>
        <v/>
      </c>
      <c r="K112" s="21">
        <f>IF(J113&gt;=안내!$B$7,"상",IF(J113&gt;=안내!$B$8,"중","하"))</f>
        <v/>
      </c>
      <c r="L112" s="26" t="inlineStr">
        <is>
          <t>미방문</t>
        </is>
      </c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 t="n"/>
      <c r="V112" s="28" t="n"/>
    </row>
    <row r="113" ht="15" customHeight="1" s="15">
      <c r="A113" s="21" t="n">
        <v>112</v>
      </c>
      <c r="B113" s="22" t="inlineStr">
        <is>
          <t>신일중학교</t>
        </is>
      </c>
      <c r="C113" s="23" t="inlineStr">
        <is>
          <t>강북구</t>
        </is>
      </c>
      <c r="D113" s="23" t="inlineStr">
        <is>
          <t>서울시</t>
        </is>
      </c>
      <c r="E113" s="24" t="n">
        <v>2</v>
      </c>
      <c r="F113" s="24" t="n">
        <v>0</v>
      </c>
      <c r="G113" s="24" t="n">
        <v>4</v>
      </c>
      <c r="H113" s="24" t="n"/>
      <c r="I113" s="25" t="n"/>
      <c r="J113" s="21">
        <f>E114*2+F114*3+G114*0.6</f>
        <v/>
      </c>
      <c r="K113" s="21">
        <f>IF(J114&gt;=안내!$B$7,"상",IF(J114&gt;=안내!$B$8,"중","하"))</f>
        <v/>
      </c>
      <c r="L113" s="26" t="inlineStr">
        <is>
          <t>미방문</t>
        </is>
      </c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 t="n"/>
      <c r="V113" s="28" t="n"/>
    </row>
    <row r="114" ht="15" customHeight="1" s="15">
      <c r="A114" s="21" t="n">
        <v>113</v>
      </c>
      <c r="B114" s="22" t="inlineStr">
        <is>
          <t>태랑중학교</t>
        </is>
      </c>
      <c r="C114" s="23" t="inlineStr">
        <is>
          <t>노원구</t>
        </is>
      </c>
      <c r="D114" s="23" t="inlineStr">
        <is>
          <t>서울시</t>
        </is>
      </c>
      <c r="E114" s="24" t="n">
        <v>1</v>
      </c>
      <c r="F114" s="24" t="n">
        <v>0</v>
      </c>
      <c r="G114" s="24" t="n">
        <v>7</v>
      </c>
      <c r="H114" s="24" t="n"/>
      <c r="I114" s="25" t="n"/>
      <c r="J114" s="21">
        <f>E115*2+F115*3+G115*0.6</f>
        <v/>
      </c>
      <c r="K114" s="21">
        <f>IF(J115&gt;=안내!$B$7,"상",IF(J115&gt;=안내!$B$8,"중","하"))</f>
        <v/>
      </c>
      <c r="L114" s="26" t="inlineStr">
        <is>
          <t>미방문</t>
        </is>
      </c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 t="n"/>
      <c r="V114" s="28" t="n"/>
    </row>
    <row r="115" ht="15" customHeight="1" s="15">
      <c r="A115" s="21" t="n">
        <v>114</v>
      </c>
      <c r="B115" s="22" t="inlineStr">
        <is>
          <t>창동중학교</t>
        </is>
      </c>
      <c r="C115" s="23" t="inlineStr">
        <is>
          <t>도봉구</t>
        </is>
      </c>
      <c r="D115" s="23" t="inlineStr">
        <is>
          <t>서울시</t>
        </is>
      </c>
      <c r="E115" s="24" t="n">
        <v>1</v>
      </c>
      <c r="F115" s="24" t="n">
        <v>0</v>
      </c>
      <c r="G115" s="24" t="n">
        <v>7</v>
      </c>
      <c r="H115" s="24" t="n"/>
      <c r="I115" s="25" t="n"/>
      <c r="J115" s="21">
        <f>E116*2+F116*3+G116*0.6</f>
        <v/>
      </c>
      <c r="K115" s="21">
        <f>IF(J116&gt;=안내!$B$7,"상",IF(J116&gt;=안내!$B$8,"중","하"))</f>
        <v/>
      </c>
      <c r="L115" s="26" t="inlineStr">
        <is>
          <t>미방문</t>
        </is>
      </c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 t="n"/>
      <c r="V115" s="28" t="n"/>
    </row>
    <row r="116" ht="15" customHeight="1" s="15">
      <c r="A116" s="21" t="n">
        <v>115</v>
      </c>
      <c r="B116" s="22" t="inlineStr">
        <is>
          <t>동화중학교</t>
        </is>
      </c>
      <c r="C116" s="23" t="inlineStr">
        <is>
          <t>남양주시</t>
        </is>
      </c>
      <c r="D116" s="23" t="inlineStr">
        <is>
          <t>경기도</t>
        </is>
      </c>
      <c r="E116" s="24" t="n">
        <v>1</v>
      </c>
      <c r="F116" s="24" t="n">
        <v>0</v>
      </c>
      <c r="G116" s="24" t="n">
        <v>7</v>
      </c>
      <c r="H116" s="24" t="n"/>
      <c r="I116" s="25" t="inlineStr">
        <is>
          <t>설계</t>
        </is>
      </c>
      <c r="J116" s="21">
        <f>E117*2+F117*3+G117*0.6</f>
        <v/>
      </c>
      <c r="K116" s="21">
        <f>IF(J117&gt;=안내!$B$7,"상",IF(J117&gt;=안내!$B$8,"중","하"))</f>
        <v/>
      </c>
      <c r="L116" s="26" t="inlineStr">
        <is>
          <t>미방문</t>
        </is>
      </c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 t="n"/>
      <c r="V116" s="28" t="n"/>
    </row>
    <row r="117" ht="15" customHeight="1" s="15">
      <c r="A117" s="21" t="n">
        <v>116</v>
      </c>
      <c r="B117" s="22" t="inlineStr">
        <is>
          <t>장평중학교</t>
        </is>
      </c>
      <c r="C117" s="23" t="inlineStr">
        <is>
          <t>동대문구</t>
        </is>
      </c>
      <c r="D117" s="23" t="inlineStr">
        <is>
          <t>서울시</t>
        </is>
      </c>
      <c r="E117" s="24" t="n">
        <v>0</v>
      </c>
      <c r="F117" s="24" t="n">
        <v>0</v>
      </c>
      <c r="G117" s="24" t="n">
        <v>10</v>
      </c>
      <c r="H117" s="24" t="n"/>
      <c r="I117" s="25" t="n"/>
      <c r="J117" s="21">
        <f>E118*2+F118*3+G118*0.6</f>
        <v/>
      </c>
      <c r="K117" s="21">
        <f>IF(J118&gt;=안내!$B$7,"상",IF(J118&gt;=안내!$B$8,"중","하"))</f>
        <v/>
      </c>
      <c r="L117" s="26" t="inlineStr">
        <is>
          <t>미방문</t>
        </is>
      </c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 t="n"/>
      <c r="V117" s="28" t="n"/>
    </row>
    <row r="118" ht="15" customHeight="1" s="15">
      <c r="A118" s="21" t="n">
        <v>117</v>
      </c>
      <c r="B118" s="22" t="inlineStr">
        <is>
          <t>길음중학교</t>
        </is>
      </c>
      <c r="C118" s="23" t="inlineStr">
        <is>
          <t>성북구</t>
        </is>
      </c>
      <c r="D118" s="23" t="inlineStr">
        <is>
          <t>서울시</t>
        </is>
      </c>
      <c r="E118" s="24" t="n">
        <v>0</v>
      </c>
      <c r="F118" s="24" t="n">
        <v>0</v>
      </c>
      <c r="G118" s="24" t="n">
        <v>10</v>
      </c>
      <c r="H118" s="24" t="n"/>
      <c r="I118" s="25" t="n"/>
      <c r="J118" s="21">
        <f>E119*2+F119*3+G119*0.6</f>
        <v/>
      </c>
      <c r="K118" s="21">
        <f>IF(J119&gt;=안내!$B$7,"상",IF(J119&gt;=안내!$B$8,"중","하"))</f>
        <v/>
      </c>
      <c r="L118" s="26" t="inlineStr">
        <is>
          <t>미방문</t>
        </is>
      </c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 t="n"/>
      <c r="V118" s="28" t="n"/>
    </row>
    <row r="119" ht="15" customHeight="1" s="15">
      <c r="A119" s="21" t="n">
        <v>118</v>
      </c>
      <c r="B119" s="22" t="inlineStr">
        <is>
          <t>가운중학교</t>
        </is>
      </c>
      <c r="C119" s="23" t="inlineStr">
        <is>
          <t>남양주시</t>
        </is>
      </c>
      <c r="D119" s="23" t="inlineStr">
        <is>
          <t>경기도</t>
        </is>
      </c>
      <c r="E119" s="24" t="n">
        <v>2</v>
      </c>
      <c r="F119" s="24" t="n">
        <v>0</v>
      </c>
      <c r="G119" s="24" t="n">
        <v>3</v>
      </c>
      <c r="H119" s="24" t="n"/>
      <c r="I119" s="25" t="inlineStr">
        <is>
          <t>설계</t>
        </is>
      </c>
      <c r="J119" s="21">
        <f>E120*2+F120*3+G120*0.6</f>
        <v/>
      </c>
      <c r="K119" s="21">
        <f>IF(J120&gt;=안내!$B$7,"상",IF(J120&gt;=안내!$B$8,"중","하"))</f>
        <v/>
      </c>
      <c r="L119" s="26" t="inlineStr">
        <is>
          <t>미방문</t>
        </is>
      </c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 t="n"/>
      <c r="V119" s="28" t="n"/>
    </row>
    <row r="120" ht="15" customHeight="1" s="15">
      <c r="A120" s="21" t="n">
        <v>119</v>
      </c>
      <c r="B120" s="22" t="inlineStr">
        <is>
          <t>수유중학교</t>
        </is>
      </c>
      <c r="C120" s="23" t="inlineStr">
        <is>
          <t>강북구</t>
        </is>
      </c>
      <c r="D120" s="23" t="inlineStr">
        <is>
          <t>서울시</t>
        </is>
      </c>
      <c r="E120" s="24" t="n">
        <v>1</v>
      </c>
      <c r="F120" s="24" t="n">
        <v>0</v>
      </c>
      <c r="G120" s="24" t="n">
        <v>6</v>
      </c>
      <c r="H120" s="24" t="n"/>
      <c r="I120" s="25" t="n"/>
      <c r="J120" s="21">
        <f>E121*2+F121*3+G121*0.6</f>
        <v/>
      </c>
      <c r="K120" s="21">
        <f>IF(J121&gt;=안내!$B$7,"상",IF(J121&gt;=안내!$B$8,"중","하"))</f>
        <v/>
      </c>
      <c r="L120" s="26" t="inlineStr">
        <is>
          <t>미방문</t>
        </is>
      </c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 t="n"/>
      <c r="V120" s="28" t="n"/>
    </row>
    <row r="121" ht="15" customHeight="1" s="15">
      <c r="A121" s="21" t="n">
        <v>120</v>
      </c>
      <c r="B121" s="22" t="inlineStr">
        <is>
          <t>구의중학교</t>
        </is>
      </c>
      <c r="C121" s="23" t="inlineStr">
        <is>
          <t>광진구</t>
        </is>
      </c>
      <c r="D121" s="23" t="inlineStr">
        <is>
          <t>서울시</t>
        </is>
      </c>
      <c r="E121" s="24" t="n">
        <v>1</v>
      </c>
      <c r="F121" s="24" t="n">
        <v>0</v>
      </c>
      <c r="G121" s="24" t="n">
        <v>6</v>
      </c>
      <c r="H121" s="24" t="n"/>
      <c r="I121" s="25" t="n"/>
      <c r="J121" s="21">
        <f>E122*2+F122*3+G122*0.6</f>
        <v/>
      </c>
      <c r="K121" s="21">
        <f>IF(J122&gt;=안내!$B$7,"상",IF(J122&gt;=안내!$B$8,"중","하"))</f>
        <v/>
      </c>
      <c r="L121" s="26" t="inlineStr">
        <is>
          <t>미방문</t>
        </is>
      </c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 t="n"/>
      <c r="V121" s="28" t="n"/>
    </row>
    <row r="122" ht="15" customHeight="1" s="15">
      <c r="A122" s="21" t="n">
        <v>121</v>
      </c>
      <c r="B122" s="22" t="inlineStr">
        <is>
          <t>다산한강중학교</t>
        </is>
      </c>
      <c r="C122" s="23" t="inlineStr">
        <is>
          <t>남양주시</t>
        </is>
      </c>
      <c r="D122" s="23" t="inlineStr">
        <is>
          <t>경기도</t>
        </is>
      </c>
      <c r="E122" s="24" t="n">
        <v>0</v>
      </c>
      <c r="F122" s="24" t="n">
        <v>0</v>
      </c>
      <c r="G122" s="24" t="n">
        <v>9</v>
      </c>
      <c r="H122" s="24" t="n"/>
      <c r="I122" s="25" t="n"/>
      <c r="J122" s="21">
        <f>E123*2+F123*3+G123*0.6</f>
        <v/>
      </c>
      <c r="K122" s="21">
        <f>IF(J123&gt;=안내!$B$7,"상",IF(J123&gt;=안내!$B$8,"중","하"))</f>
        <v/>
      </c>
      <c r="L122" s="26" t="inlineStr">
        <is>
          <t>미방문</t>
        </is>
      </c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 t="n"/>
      <c r="V122" s="28" t="n"/>
    </row>
    <row r="123" ht="15" customHeight="1" s="15">
      <c r="A123" s="21" t="n">
        <v>122</v>
      </c>
      <c r="B123" s="22" t="inlineStr">
        <is>
          <t>수동중학교</t>
        </is>
      </c>
      <c r="C123" s="23" t="inlineStr">
        <is>
          <t>남양주시</t>
        </is>
      </c>
      <c r="D123" s="23" t="inlineStr">
        <is>
          <t>경기도</t>
        </is>
      </c>
      <c r="E123" s="24" t="n">
        <v>2</v>
      </c>
      <c r="F123" s="24" t="n">
        <v>0</v>
      </c>
      <c r="G123" s="24" t="n">
        <v>2</v>
      </c>
      <c r="H123" s="24" t="n"/>
      <c r="I123" s="25" t="n"/>
      <c r="J123" s="21">
        <f>E124*2+F124*3+G124*0.6</f>
        <v/>
      </c>
      <c r="K123" s="21">
        <f>IF(J124&gt;=안내!$B$7,"상",IF(J124&gt;=안내!$B$8,"중","하"))</f>
        <v/>
      </c>
      <c r="L123" s="26" t="inlineStr">
        <is>
          <t>미방문</t>
        </is>
      </c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 t="n"/>
      <c r="V123" s="28" t="n"/>
    </row>
    <row r="124" ht="15" customHeight="1" s="15">
      <c r="A124" s="21" t="n">
        <v>123</v>
      </c>
      <c r="B124" s="22" t="inlineStr">
        <is>
          <t>인수중학교</t>
        </is>
      </c>
      <c r="C124" s="23" t="inlineStr">
        <is>
          <t>강북구</t>
        </is>
      </c>
      <c r="D124" s="23" t="inlineStr">
        <is>
          <t>서울시</t>
        </is>
      </c>
      <c r="E124" s="24" t="n">
        <v>1</v>
      </c>
      <c r="F124" s="24" t="n">
        <v>0</v>
      </c>
      <c r="G124" s="24" t="n">
        <v>5</v>
      </c>
      <c r="H124" s="24" t="n"/>
      <c r="I124" s="25" t="n"/>
      <c r="J124" s="21">
        <f>E125*2+F125*3+G125*0.6</f>
        <v/>
      </c>
      <c r="K124" s="21">
        <f>IF(J125&gt;=안내!$B$7,"상",IF(J125&gt;=안내!$B$8,"중","하"))</f>
        <v/>
      </c>
      <c r="L124" s="26" t="inlineStr">
        <is>
          <t>미방문</t>
        </is>
      </c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 t="n"/>
      <c r="V124" s="28" t="n"/>
    </row>
    <row r="125" ht="15" customHeight="1" s="15">
      <c r="A125" s="21" t="n">
        <v>124</v>
      </c>
      <c r="B125" s="22" t="inlineStr">
        <is>
          <t>숭곡중학교</t>
        </is>
      </c>
      <c r="C125" s="23" t="inlineStr">
        <is>
          <t>성북구</t>
        </is>
      </c>
      <c r="D125" s="23" t="inlineStr">
        <is>
          <t>서울시</t>
        </is>
      </c>
      <c r="E125" s="24" t="n">
        <v>0</v>
      </c>
      <c r="F125" s="24" t="n">
        <v>0</v>
      </c>
      <c r="G125" s="24" t="n">
        <v>8</v>
      </c>
      <c r="H125" s="24" t="n"/>
      <c r="I125" s="25" t="n"/>
      <c r="J125" s="21">
        <f>E126*2+F126*3+G126*0.6</f>
        <v/>
      </c>
      <c r="K125" s="21">
        <f>IF(J126&gt;=안내!$B$7,"상",IF(J126&gt;=안내!$B$8,"중","하"))</f>
        <v/>
      </c>
      <c r="L125" s="26" t="inlineStr">
        <is>
          <t>미방문</t>
        </is>
      </c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 t="n"/>
      <c r="V125" s="28" t="n"/>
    </row>
    <row r="126" ht="15" customHeight="1" s="15">
      <c r="A126" s="21" t="n">
        <v>125</v>
      </c>
      <c r="B126" s="22" t="inlineStr">
        <is>
          <t>동암중학교</t>
        </is>
      </c>
      <c r="C126" s="23" t="inlineStr">
        <is>
          <t>의정부시</t>
        </is>
      </c>
      <c r="D126" s="23" t="inlineStr">
        <is>
          <t>경기도</t>
        </is>
      </c>
      <c r="E126" s="24" t="n">
        <v>0</v>
      </c>
      <c r="F126" s="24" t="n">
        <v>0</v>
      </c>
      <c r="G126" s="24" t="n">
        <v>8</v>
      </c>
      <c r="H126" s="24" t="n"/>
      <c r="I126" s="25" t="n"/>
      <c r="J126" s="21">
        <f>E127*2+F127*3+G127*0.6</f>
        <v/>
      </c>
      <c r="K126" s="21">
        <f>IF(J127&gt;=안내!$B$7,"상",IF(J127&gt;=안내!$B$8,"중","하"))</f>
        <v/>
      </c>
      <c r="L126" s="26" t="inlineStr">
        <is>
          <t>미방문</t>
        </is>
      </c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 t="n"/>
      <c r="V126" s="28" t="n"/>
    </row>
    <row r="127" ht="15" customHeight="1" s="15">
      <c r="A127" s="21" t="n">
        <v>126</v>
      </c>
      <c r="B127" s="22" t="inlineStr">
        <is>
          <t>화접중학교</t>
        </is>
      </c>
      <c r="C127" s="23" t="inlineStr">
        <is>
          <t>남양주시</t>
        </is>
      </c>
      <c r="D127" s="23" t="inlineStr">
        <is>
          <t>경기도</t>
        </is>
      </c>
      <c r="E127" s="24" t="n">
        <v>0</v>
      </c>
      <c r="F127" s="24" t="n">
        <v>0</v>
      </c>
      <c r="G127" s="24" t="n">
        <v>8</v>
      </c>
      <c r="H127" s="24" t="n"/>
      <c r="I127" s="25" t="n"/>
      <c r="J127" s="21">
        <f>E128*2+F128*3+G128*0.6</f>
        <v/>
      </c>
      <c r="K127" s="21">
        <f>IF(J128&gt;=안내!$B$7,"상",IF(J128&gt;=안내!$B$8,"중","하"))</f>
        <v/>
      </c>
      <c r="L127" s="26" t="inlineStr">
        <is>
          <t>미방문</t>
        </is>
      </c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 t="n"/>
      <c r="V127" s="28" t="n"/>
    </row>
    <row r="128" ht="15" customHeight="1" s="15">
      <c r="A128" s="21" t="n">
        <v>127</v>
      </c>
      <c r="B128" s="22" t="inlineStr">
        <is>
          <t>노곡중학교</t>
        </is>
      </c>
      <c r="C128" s="23" t="inlineStr">
        <is>
          <t>도봉구</t>
        </is>
      </c>
      <c r="D128" s="23" t="inlineStr">
        <is>
          <t>서울시</t>
        </is>
      </c>
      <c r="E128" s="24" t="n">
        <v>1</v>
      </c>
      <c r="F128" s="24" t="n">
        <v>0</v>
      </c>
      <c r="G128" s="24" t="n">
        <v>4</v>
      </c>
      <c r="H128" s="24" t="n"/>
      <c r="I128" s="25" t="inlineStr">
        <is>
          <t>전자</t>
        </is>
      </c>
      <c r="J128" s="21">
        <f>E129*2+F129*3+G129*0.6</f>
        <v/>
      </c>
      <c r="K128" s="21">
        <f>IF(J129&gt;=안내!$B$7,"상",IF(J129&gt;=안내!$B$8,"중","하"))</f>
        <v/>
      </c>
      <c r="L128" s="26" t="inlineStr">
        <is>
          <t>미방문</t>
        </is>
      </c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 t="n"/>
      <c r="V128" s="28" t="n"/>
    </row>
    <row r="129" ht="15" customHeight="1" s="15">
      <c r="A129" s="21" t="n">
        <v>128</v>
      </c>
      <c r="B129" s="22" t="inlineStr">
        <is>
          <t>덕소중학교</t>
        </is>
      </c>
      <c r="C129" s="23" t="inlineStr">
        <is>
          <t>남양주시</t>
        </is>
      </c>
      <c r="D129" s="23" t="inlineStr">
        <is>
          <t>경기도</t>
        </is>
      </c>
      <c r="E129" s="24" t="n">
        <v>0</v>
      </c>
      <c r="F129" s="24" t="n">
        <v>0</v>
      </c>
      <c r="G129" s="24" t="n">
        <v>7</v>
      </c>
      <c r="H129" s="24" t="n"/>
      <c r="I129" s="25" t="n"/>
      <c r="J129" s="21">
        <f>E131*2+F131*3+G131*0.6</f>
        <v/>
      </c>
      <c r="K129" s="21">
        <f>IF(J131&gt;=안내!$B$7,"상",IF(J131&gt;=안내!$B$8,"중","하"))</f>
        <v/>
      </c>
      <c r="L129" s="26" t="inlineStr">
        <is>
          <t>미방문</t>
        </is>
      </c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 t="n"/>
      <c r="V129" s="28" t="n"/>
    </row>
    <row r="130" ht="15" customHeight="1" s="15">
      <c r="A130" s="21" t="n">
        <v>129</v>
      </c>
      <c r="B130" s="22" t="inlineStr">
        <is>
          <t>창북중학교</t>
        </is>
      </c>
      <c r="C130" s="23" t="inlineStr">
        <is>
          <t>도봉구</t>
        </is>
      </c>
      <c r="D130" s="23" t="inlineStr">
        <is>
          <t>서울시</t>
        </is>
      </c>
      <c r="E130" s="24" t="n">
        <v>0</v>
      </c>
      <c r="F130" s="24" t="n">
        <v>0</v>
      </c>
      <c r="G130" s="24" t="n">
        <v>6</v>
      </c>
      <c r="H130" s="24" t="n"/>
      <c r="I130" s="25" t="n"/>
      <c r="J130" s="21">
        <f>E132*2+F132*3+G132*0.6</f>
        <v/>
      </c>
      <c r="K130" s="21">
        <f>IF(J132&gt;=안내!$B$7,"상",IF(J132&gt;=안내!$B$8,"중","하"))</f>
        <v/>
      </c>
      <c r="L130" s="26" t="inlineStr">
        <is>
          <t>미방문</t>
        </is>
      </c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 t="n"/>
      <c r="V130" s="28" t="n"/>
    </row>
    <row r="131" ht="15" customHeight="1" s="15">
      <c r="A131" s="21" t="n">
        <v>130</v>
      </c>
      <c r="B131" s="22" t="inlineStr">
        <is>
          <t>광운중학교</t>
        </is>
      </c>
      <c r="C131" s="23" t="inlineStr">
        <is>
          <t>노원구</t>
        </is>
      </c>
      <c r="D131" s="23" t="inlineStr">
        <is>
          <t>서울시</t>
        </is>
      </c>
      <c r="E131" s="24" t="n">
        <v>0</v>
      </c>
      <c r="F131" s="24" t="n">
        <v>0</v>
      </c>
      <c r="G131" s="24" t="n">
        <v>6</v>
      </c>
      <c r="H131" s="24" t="n"/>
      <c r="I131" s="25" t="n"/>
      <c r="J131" s="21">
        <f>E133*2+F133*3+G133*0.6</f>
        <v/>
      </c>
      <c r="K131" s="21">
        <f>IF(J133&gt;=안내!$B$7,"상",IF(J133&gt;=안내!$B$8,"중","하"))</f>
        <v/>
      </c>
      <c r="L131" s="26" t="inlineStr">
        <is>
          <t>미방문</t>
        </is>
      </c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 t="n"/>
      <c r="V131" s="28" t="n"/>
    </row>
    <row r="132" ht="15" customHeight="1" s="15">
      <c r="A132" s="21" t="n">
        <v>131</v>
      </c>
      <c r="B132" s="22" t="inlineStr">
        <is>
          <t>전동중학교</t>
        </is>
      </c>
      <c r="C132" s="23" t="inlineStr">
        <is>
          <t>동대문구</t>
        </is>
      </c>
      <c r="D132" s="23" t="inlineStr">
        <is>
          <t>서울시</t>
        </is>
      </c>
      <c r="E132" s="24" t="n">
        <v>0</v>
      </c>
      <c r="F132" s="24" t="n">
        <v>0</v>
      </c>
      <c r="G132" s="24" t="n">
        <v>6</v>
      </c>
      <c r="H132" s="24" t="n"/>
      <c r="I132" s="25" t="n"/>
      <c r="J132" s="21">
        <f>E134*2+F134*3+G134*0.6</f>
        <v/>
      </c>
      <c r="K132" s="21">
        <f>IF(J134&gt;=안내!$B$7,"상",IF(J134&gt;=안내!$B$8,"중","하"))</f>
        <v/>
      </c>
      <c r="L132" s="26" t="inlineStr">
        <is>
          <t>미방문</t>
        </is>
      </c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 t="n"/>
      <c r="V132" s="28" t="n"/>
    </row>
    <row r="133" ht="15" customHeight="1" s="15">
      <c r="A133" s="21" t="n">
        <v>132</v>
      </c>
      <c r="B133" s="22" t="inlineStr">
        <is>
          <t>월곡중학교</t>
        </is>
      </c>
      <c r="C133" s="23" t="inlineStr">
        <is>
          <t>성북구</t>
        </is>
      </c>
      <c r="D133" s="23" t="inlineStr">
        <is>
          <t>서울시</t>
        </is>
      </c>
      <c r="E133" s="24" t="n">
        <v>0</v>
      </c>
      <c r="F133" s="24" t="n">
        <v>0</v>
      </c>
      <c r="G133" s="24" t="n">
        <v>6</v>
      </c>
      <c r="H133" s="24" t="n"/>
      <c r="I133" s="25" t="n"/>
      <c r="J133" s="21">
        <f>E135*2+F135*3+G135*0.6</f>
        <v/>
      </c>
      <c r="K133" s="21">
        <f>IF(J135&gt;=안내!$B$7,"상",IF(J135&gt;=안내!$B$8,"중","하"))</f>
        <v/>
      </c>
      <c r="L133" s="26" t="inlineStr">
        <is>
          <t>미방문</t>
        </is>
      </c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 t="n"/>
      <c r="V133" s="28" t="n"/>
    </row>
    <row r="134" ht="15" customHeight="1" s="15">
      <c r="A134" s="21" t="n">
        <v>133</v>
      </c>
      <c r="B134" s="22" t="inlineStr">
        <is>
          <t>영북중학교</t>
        </is>
      </c>
      <c r="C134" s="23" t="inlineStr">
        <is>
          <t>포천시</t>
        </is>
      </c>
      <c r="D134" s="23" t="inlineStr">
        <is>
          <t>경기도</t>
        </is>
      </c>
      <c r="E134" s="24" t="n">
        <v>1</v>
      </c>
      <c r="F134" s="24" t="n">
        <v>0</v>
      </c>
      <c r="G134" s="24" t="n">
        <v>2</v>
      </c>
      <c r="H134" s="24" t="n"/>
      <c r="I134" s="25" t="n"/>
      <c r="J134" s="21">
        <f>E136*2+F136*3+G136*0.6</f>
        <v/>
      </c>
      <c r="K134" s="21">
        <f>IF(J136&gt;=안내!$B$7,"상",IF(J136&gt;=안내!$B$8,"중","하"))</f>
        <v/>
      </c>
      <c r="L134" s="26" t="inlineStr">
        <is>
          <t>미방문</t>
        </is>
      </c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 t="n"/>
      <c r="V134" s="28" t="n"/>
    </row>
    <row r="135" ht="15" customHeight="1" s="15">
      <c r="A135" s="21" t="n">
        <v>134</v>
      </c>
      <c r="B135" s="22" t="inlineStr">
        <is>
          <t>중랑중학교</t>
        </is>
      </c>
      <c r="C135" s="23" t="inlineStr">
        <is>
          <t>중랑구</t>
        </is>
      </c>
      <c r="D135" s="23" t="inlineStr">
        <is>
          <t>서울시</t>
        </is>
      </c>
      <c r="E135" s="24" t="n">
        <v>0</v>
      </c>
      <c r="F135" s="24" t="n">
        <v>0</v>
      </c>
      <c r="G135" s="24" t="n">
        <v>5</v>
      </c>
      <c r="H135" s="24" t="n"/>
      <c r="I135" s="25" t="inlineStr">
        <is>
          <t>하이텍</t>
        </is>
      </c>
      <c r="J135" s="21">
        <f>E137*2+F137*3+G137*0.6</f>
        <v/>
      </c>
      <c r="K135" s="21">
        <f>IF(J137&gt;=안내!$B$7,"상",IF(J137&gt;=안내!$B$8,"중","하"))</f>
        <v/>
      </c>
      <c r="L135" s="26" t="inlineStr">
        <is>
          <t>미방문</t>
        </is>
      </c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 t="n"/>
      <c r="V135" s="28" t="n"/>
    </row>
    <row r="136" ht="15" customHeight="1" s="15">
      <c r="A136" s="21" t="n">
        <v>135</v>
      </c>
      <c r="B136" s="22" t="inlineStr">
        <is>
          <t>북악중학교</t>
        </is>
      </c>
      <c r="C136" s="23" t="inlineStr">
        <is>
          <t>성북구</t>
        </is>
      </c>
      <c r="D136" s="23" t="inlineStr">
        <is>
          <t>서울시</t>
        </is>
      </c>
      <c r="E136" s="24" t="n">
        <v>0</v>
      </c>
      <c r="F136" s="24" t="n">
        <v>0</v>
      </c>
      <c r="G136" s="24" t="n">
        <v>5</v>
      </c>
      <c r="H136" s="24" t="n"/>
      <c r="I136" s="25" t="n"/>
      <c r="J136" s="21">
        <f>E138*2+F138*3+G138*0.6</f>
        <v/>
      </c>
      <c r="K136" s="21">
        <f>IF(J138&gt;=안내!$B$7,"상",IF(J138&gt;=안내!$B$8,"중","하"))</f>
        <v/>
      </c>
      <c r="L136" s="26" t="inlineStr">
        <is>
          <t>미방문</t>
        </is>
      </c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 t="n"/>
      <c r="V136" s="28" t="n"/>
    </row>
    <row r="137" ht="15" customHeight="1" s="15">
      <c r="A137" s="21" t="n">
        <v>136</v>
      </c>
      <c r="B137" s="22" t="inlineStr">
        <is>
          <t>경민중학교</t>
        </is>
      </c>
      <c r="C137" s="23" t="inlineStr">
        <is>
          <t>의정부시</t>
        </is>
      </c>
      <c r="D137" s="23" t="inlineStr">
        <is>
          <t>경기도</t>
        </is>
      </c>
      <c r="E137" s="24" t="n">
        <v>0</v>
      </c>
      <c r="F137" s="24" t="n">
        <v>0</v>
      </c>
      <c r="G137" s="24" t="n">
        <v>5</v>
      </c>
      <c r="H137" s="24" t="n"/>
      <c r="I137" s="25" t="inlineStr">
        <is>
          <t>반도체</t>
        </is>
      </c>
      <c r="J137" s="21">
        <f>E139*2+F139*3+G139*0.6</f>
        <v/>
      </c>
      <c r="K137" s="21">
        <f>IF(J139&gt;=안내!$B$7,"상",IF(J139&gt;=안내!$B$8,"중","하"))</f>
        <v/>
      </c>
      <c r="L137" s="26" t="inlineStr">
        <is>
          <t>미방문</t>
        </is>
      </c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 t="n"/>
      <c r="V137" s="28" t="n"/>
    </row>
    <row r="138" ht="15" customHeight="1" s="15">
      <c r="A138" s="21" t="n">
        <v>137</v>
      </c>
      <c r="B138" s="22" t="inlineStr">
        <is>
          <t>신창중학교</t>
        </is>
      </c>
      <c r="C138" s="23" t="inlineStr">
        <is>
          <t>노원구</t>
        </is>
      </c>
      <c r="D138" s="23" t="inlineStr">
        <is>
          <t>서울시</t>
        </is>
      </c>
      <c r="E138" s="24" t="n">
        <v>0</v>
      </c>
      <c r="F138" s="24" t="n">
        <v>0</v>
      </c>
      <c r="G138" s="24" t="n">
        <v>4</v>
      </c>
      <c r="H138" s="24" t="n"/>
      <c r="I138" s="25" t="inlineStr">
        <is>
          <t>자동화</t>
        </is>
      </c>
      <c r="J138" s="21">
        <f>E140*2+F140*3+G140*0.6</f>
        <v/>
      </c>
      <c r="K138" s="21">
        <f>IF(J140&gt;=안내!$B$7,"상",IF(J140&gt;=안내!$B$8,"중","하"))</f>
        <v/>
      </c>
      <c r="L138" s="26" t="inlineStr">
        <is>
          <t>미방문</t>
        </is>
      </c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 t="n"/>
      <c r="V138" s="28" t="n"/>
    </row>
    <row r="139" ht="15" customHeight="1" s="15">
      <c r="A139" s="21" t="n">
        <v>138</v>
      </c>
      <c r="B139" s="22" t="inlineStr">
        <is>
          <t>신상중학교</t>
        </is>
      </c>
      <c r="C139" s="23" t="inlineStr">
        <is>
          <t>노원구</t>
        </is>
      </c>
      <c r="D139" s="23" t="inlineStr">
        <is>
          <t>서울시</t>
        </is>
      </c>
      <c r="E139" s="24" t="n">
        <v>0</v>
      </c>
      <c r="F139" s="24" t="n">
        <v>0</v>
      </c>
      <c r="G139" s="24" t="n">
        <v>4</v>
      </c>
      <c r="H139" s="24" t="n"/>
      <c r="I139" s="25" t="inlineStr">
        <is>
          <t>설비</t>
        </is>
      </c>
      <c r="J139" s="21">
        <f>E141*2+F141*3+G141*0.6</f>
        <v/>
      </c>
      <c r="K139" s="21">
        <f>IF(J141&gt;=안내!$B$7,"상",IF(J141&gt;=안내!$B$8,"중","하"))</f>
        <v/>
      </c>
      <c r="L139" s="26" t="inlineStr">
        <is>
          <t>미방문</t>
        </is>
      </c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 t="n"/>
      <c r="V139" s="28" t="n"/>
    </row>
    <row r="140" ht="15" customHeight="1" s="15">
      <c r="A140" s="21" t="n">
        <v>139</v>
      </c>
      <c r="B140" s="22" t="inlineStr">
        <is>
          <t>화계중학교</t>
        </is>
      </c>
      <c r="C140" s="23" t="inlineStr">
        <is>
          <t>강북구</t>
        </is>
      </c>
      <c r="D140" s="23" t="inlineStr">
        <is>
          <t>서울시</t>
        </is>
      </c>
      <c r="E140" s="24" t="n">
        <v>0</v>
      </c>
      <c r="F140" s="24" t="n">
        <v>0</v>
      </c>
      <c r="G140" s="24" t="n">
        <v>4</v>
      </c>
      <c r="H140" s="24" t="n"/>
      <c r="I140" s="25" t="n"/>
      <c r="J140" s="21">
        <f>E142*2+F142*3+G142*0.6</f>
        <v/>
      </c>
      <c r="K140" s="21">
        <f>IF(J142&gt;=안내!$B$7,"상",IF(J142&gt;=안내!$B$8,"중","하"))</f>
        <v/>
      </c>
      <c r="L140" s="26" t="inlineStr">
        <is>
          <t>미방문</t>
        </is>
      </c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 t="n"/>
      <c r="V140" s="28" t="n"/>
    </row>
    <row r="141" ht="15" customHeight="1" s="15">
      <c r="A141" s="21" t="n">
        <v>140</v>
      </c>
      <c r="B141" s="22" t="inlineStr">
        <is>
          <t>강북중학교</t>
        </is>
      </c>
      <c r="C141" s="23" t="inlineStr">
        <is>
          <t>강북구</t>
        </is>
      </c>
      <c r="D141" s="23" t="inlineStr">
        <is>
          <t>서울시</t>
        </is>
      </c>
      <c r="E141" s="24" t="n">
        <v>0</v>
      </c>
      <c r="F141" s="24" t="n">
        <v>0</v>
      </c>
      <c r="G141" s="24" t="n">
        <v>4</v>
      </c>
      <c r="H141" s="24" t="n"/>
      <c r="I141" s="25" t="n"/>
      <c r="J141" s="21">
        <f>E143*2+F143*3+G143*0.6</f>
        <v/>
      </c>
      <c r="K141" s="21">
        <f>IF(J143&gt;=안내!$B$7,"상",IF(J143&gt;=안내!$B$8,"중","하"))</f>
        <v/>
      </c>
      <c r="L141" s="26" t="inlineStr">
        <is>
          <t>미방문</t>
        </is>
      </c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 t="n"/>
      <c r="V141" s="28" t="n"/>
    </row>
    <row r="142" ht="15" customHeight="1" s="15">
      <c r="A142" s="21" t="n">
        <v>141</v>
      </c>
      <c r="B142" s="22" t="inlineStr">
        <is>
          <t>하랑중학교</t>
        </is>
      </c>
      <c r="C142" s="23" t="inlineStr">
        <is>
          <t>남양주시</t>
        </is>
      </c>
      <c r="D142" s="23" t="inlineStr">
        <is>
          <t>경기도</t>
        </is>
      </c>
      <c r="E142" s="24" t="n">
        <v>0</v>
      </c>
      <c r="F142" s="24" t="n">
        <v>0</v>
      </c>
      <c r="G142" s="24" t="n">
        <v>3</v>
      </c>
      <c r="H142" s="24" t="n"/>
      <c r="I142" s="25" t="n"/>
      <c r="J142" s="21">
        <f>E144*2+F144*3+G144*0.6</f>
        <v/>
      </c>
      <c r="K142" s="21">
        <f>IF(J144&gt;=안내!$B$7,"상",IF(J144&gt;=안내!$B$8,"중","하"))</f>
        <v/>
      </c>
      <c r="L142" s="26" t="inlineStr">
        <is>
          <t>미방문</t>
        </is>
      </c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 t="n"/>
      <c r="V142" s="28" t="n"/>
    </row>
    <row r="143" ht="15" customHeight="1" s="15">
      <c r="A143" s="21" t="n">
        <v>142</v>
      </c>
      <c r="B143" s="22" t="inlineStr">
        <is>
          <t>다온중학교</t>
        </is>
      </c>
      <c r="C143" s="23" t="inlineStr">
        <is>
          <t>의정부시</t>
        </is>
      </c>
      <c r="D143" s="23" t="inlineStr">
        <is>
          <t>경기도</t>
        </is>
      </c>
      <c r="E143" s="24" t="n">
        <v>0</v>
      </c>
      <c r="F143" s="24" t="n">
        <v>0</v>
      </c>
      <c r="G143" s="24" t="n">
        <v>3</v>
      </c>
      <c r="H143" s="24" t="n"/>
      <c r="I143" s="25" t="inlineStr">
        <is>
          <t>반도체</t>
        </is>
      </c>
      <c r="J143" s="21">
        <f>E145*2+F145*3+G145*0.6</f>
        <v/>
      </c>
      <c r="K143" s="21">
        <f>IF(J145&gt;=안내!$B$7,"상",IF(J145&gt;=안내!$B$8,"중","하"))</f>
        <v/>
      </c>
      <c r="L143" s="26" t="inlineStr">
        <is>
          <t>미방문</t>
        </is>
      </c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 t="n"/>
      <c r="V143" s="28" t="n"/>
    </row>
    <row r="144" ht="15" customHeight="1" s="15"/>
    <row r="145" ht="15" customHeight="1" s="15"/>
  </sheetData>
  <dataValidations count="2">
    <dataValidation sqref="L2:L145" showDropDown="0" showInputMessage="0" showErrorMessage="0" allowBlank="1" type="list" errorStyle="stop" operator="between">
      <formula1>"미방문,방문완료,재방문필요,설명회예정,관심없음"</formula1>
      <formula2>0</formula2>
    </dataValidation>
    <dataValidation sqref="T2:T145" showDropDown="0" showInputMessage="0" showErrorMessage="0" allowBlank="1" type="list" errorStyle="stop" operator="between">
      <formula1>"좋음,보통,미온,부재중"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2026-07-16T23:36:27Z</dcterms:created>
  <dcterms:modified xsi:type="dcterms:W3CDTF">2026-07-17T14:10:32Z</dcterms:modified>
  <cp:revision>0</cp:revision>
</cp:coreProperties>
</file>